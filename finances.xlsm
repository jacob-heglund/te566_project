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ome\classes\classes - current\TE 566 - Engineering Finance\project src\"/>
    </mc:Choice>
  </mc:AlternateContent>
  <xr:revisionPtr revIDLastSave="0" documentId="13_ncr:1_{0B2B04D3-06FF-4133-BD61-6D6DE3D136AD}" xr6:coauthVersionLast="45" xr6:coauthVersionMax="45" xr10:uidLastSave="{00000000-0000-0000-0000-000000000000}"/>
  <bookViews>
    <workbookView xWindow="-108" yWindow="-108" windowWidth="23256" windowHeight="12576" tabRatio="967" activeTab="4" xr2:uid="{B3B340D1-ED76-43CC-B586-3913A546EFDF}"/>
  </bookViews>
  <sheets>
    <sheet name="invoice_history" sheetId="11" r:id="rId1"/>
    <sheet name="customers" sheetId="1" r:id="rId2"/>
    <sheet name="purchase_history" sheetId="12" r:id="rId3"/>
    <sheet name="vendors" sheetId="2" r:id="rId4"/>
    <sheet name="inventory" sheetId="10" r:id="rId5"/>
    <sheet name="employees" sheetId="3" r:id="rId6"/>
    <sheet name="expenses" sheetId="6" r:id="rId7"/>
    <sheet name="payroll" sheetId="7" r:id="rId8"/>
    <sheet name="income_statement" sheetId="9" r:id="rId9"/>
    <sheet name="balance_sheet" sheetId="5" r:id="rId10"/>
    <sheet name="balance_sheet_initial" sheetId="4" r:id="rId1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10" l="1"/>
  <c r="M3" i="10" l="1"/>
  <c r="M4" i="10"/>
  <c r="M5" i="10"/>
  <c r="M6" i="10"/>
  <c r="M7" i="10"/>
  <c r="M8" i="10"/>
  <c r="M9" i="10"/>
  <c r="M10" i="10"/>
  <c r="M11" i="10"/>
  <c r="M2" i="10"/>
  <c r="J2" i="10" l="1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2" i="10"/>
  <c r="B3" i="10"/>
  <c r="D3" i="10" s="1"/>
  <c r="B4" i="10"/>
  <c r="B5" i="10"/>
  <c r="D5" i="10" s="1"/>
  <c r="B6" i="10"/>
  <c r="D6" i="10" s="1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3" i="10"/>
  <c r="A4" i="10"/>
  <c r="A5" i="10"/>
  <c r="A6" i="10"/>
  <c r="A7" i="10"/>
  <c r="A8" i="10"/>
  <c r="A9" i="10"/>
  <c r="A10" i="10"/>
  <c r="A11" i="10"/>
  <c r="A12" i="10"/>
  <c r="A13" i="10"/>
  <c r="A14" i="10"/>
  <c r="A2" i="10"/>
  <c r="D4" i="10"/>
  <c r="D2" i="10"/>
  <c r="C23" i="5" l="1"/>
  <c r="C20" i="5"/>
  <c r="C25" i="5" s="1"/>
  <c r="C12" i="5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2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39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59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6" i="10"/>
  <c r="D587" i="10"/>
  <c r="D588" i="10"/>
  <c r="D589" i="10"/>
  <c r="D590" i="10"/>
  <c r="D591" i="10"/>
  <c r="D592" i="10"/>
  <c r="D593" i="10"/>
  <c r="D594" i="10"/>
  <c r="D595" i="10"/>
  <c r="D596" i="10"/>
  <c r="D597" i="10"/>
  <c r="D598" i="10"/>
  <c r="D599" i="10"/>
  <c r="D600" i="10"/>
  <c r="D601" i="10"/>
  <c r="D602" i="10"/>
  <c r="D603" i="10"/>
  <c r="D604" i="10"/>
  <c r="D605" i="10"/>
  <c r="D606" i="10"/>
  <c r="D607" i="10"/>
  <c r="D608" i="10"/>
  <c r="D609" i="10"/>
  <c r="D610" i="10"/>
  <c r="D611" i="10"/>
  <c r="D612" i="10"/>
  <c r="D613" i="10"/>
  <c r="D614" i="10"/>
  <c r="D615" i="10"/>
  <c r="D616" i="10"/>
  <c r="D617" i="10"/>
  <c r="D618" i="10"/>
  <c r="D619" i="10"/>
  <c r="D620" i="10"/>
  <c r="D621" i="10"/>
  <c r="D622" i="10"/>
  <c r="D623" i="10"/>
  <c r="D624" i="10"/>
  <c r="D625" i="10"/>
  <c r="D626" i="10"/>
  <c r="D627" i="10"/>
  <c r="D628" i="10"/>
  <c r="D629" i="10"/>
  <c r="D630" i="10"/>
  <c r="D631" i="10"/>
  <c r="D632" i="10"/>
  <c r="D633" i="10"/>
  <c r="D634" i="10"/>
  <c r="D635" i="10"/>
  <c r="D636" i="10"/>
  <c r="D637" i="10"/>
  <c r="D638" i="10"/>
  <c r="D639" i="10"/>
  <c r="D640" i="10"/>
  <c r="D641" i="10"/>
  <c r="D642" i="10"/>
  <c r="D643" i="10"/>
  <c r="D644" i="10"/>
  <c r="D645" i="10"/>
  <c r="D646" i="10"/>
  <c r="D647" i="10"/>
  <c r="D648" i="10"/>
  <c r="D649" i="10"/>
  <c r="D650" i="10"/>
  <c r="D651" i="10"/>
  <c r="D652" i="10"/>
  <c r="D653" i="10"/>
  <c r="D654" i="10"/>
  <c r="D655" i="10"/>
  <c r="D656" i="10"/>
  <c r="D657" i="10"/>
  <c r="D658" i="10"/>
  <c r="D659" i="10"/>
  <c r="D660" i="10"/>
  <c r="D661" i="10"/>
  <c r="D662" i="10"/>
  <c r="D663" i="10"/>
  <c r="D664" i="10"/>
  <c r="D665" i="10"/>
  <c r="D666" i="10"/>
  <c r="D667" i="10"/>
  <c r="D668" i="10"/>
  <c r="D669" i="10"/>
  <c r="D670" i="10"/>
  <c r="D671" i="10"/>
  <c r="D672" i="10"/>
  <c r="D673" i="10"/>
  <c r="D674" i="10"/>
  <c r="D675" i="10"/>
  <c r="D676" i="10"/>
  <c r="D677" i="10"/>
  <c r="D678" i="10"/>
  <c r="D679" i="10"/>
  <c r="D680" i="10"/>
  <c r="D681" i="10"/>
  <c r="D682" i="10"/>
  <c r="D683" i="10"/>
  <c r="D684" i="10"/>
  <c r="D685" i="10"/>
  <c r="D686" i="10"/>
  <c r="D687" i="10"/>
  <c r="D688" i="10"/>
  <c r="D689" i="10"/>
  <c r="D690" i="10"/>
  <c r="D691" i="10"/>
  <c r="D692" i="10"/>
  <c r="D693" i="10"/>
  <c r="D694" i="10"/>
  <c r="D695" i="10"/>
  <c r="D696" i="10"/>
  <c r="D697" i="10"/>
  <c r="D698" i="10"/>
  <c r="D699" i="10"/>
  <c r="D700" i="10"/>
  <c r="D701" i="10"/>
  <c r="D702" i="10"/>
  <c r="D703" i="10"/>
  <c r="D704" i="10"/>
  <c r="D705" i="10"/>
  <c r="D706" i="10"/>
  <c r="D707" i="10"/>
  <c r="D708" i="10"/>
  <c r="D709" i="10"/>
  <c r="D710" i="10"/>
  <c r="D711" i="10"/>
  <c r="D712" i="10"/>
  <c r="D713" i="10"/>
  <c r="D714" i="10"/>
  <c r="D715" i="10"/>
  <c r="D716" i="10"/>
  <c r="D717" i="10"/>
  <c r="D718" i="10"/>
  <c r="D719" i="10"/>
  <c r="D720" i="10"/>
  <c r="D721" i="10"/>
  <c r="D722" i="10"/>
  <c r="D723" i="10"/>
  <c r="D724" i="10"/>
  <c r="D725" i="10"/>
  <c r="D726" i="10"/>
  <c r="D727" i="10"/>
  <c r="D728" i="10"/>
  <c r="D729" i="10"/>
  <c r="D730" i="10"/>
  <c r="D731" i="10"/>
  <c r="D732" i="10"/>
  <c r="D733" i="10"/>
  <c r="D734" i="10"/>
  <c r="D735" i="10"/>
  <c r="D736" i="10"/>
  <c r="D737" i="10"/>
  <c r="D738" i="10"/>
  <c r="D739" i="10"/>
  <c r="D740" i="10"/>
  <c r="D741" i="10"/>
  <c r="D742" i="10"/>
  <c r="D743" i="10"/>
  <c r="D744" i="10"/>
  <c r="D745" i="10"/>
  <c r="D746" i="10"/>
  <c r="D747" i="10"/>
  <c r="D748" i="10"/>
  <c r="D749" i="10"/>
  <c r="D750" i="10"/>
  <c r="D751" i="10"/>
  <c r="D752" i="10"/>
  <c r="D753" i="10"/>
  <c r="D754" i="10"/>
  <c r="D755" i="10"/>
  <c r="D756" i="10"/>
  <c r="D757" i="10"/>
  <c r="D758" i="10"/>
  <c r="D759" i="10"/>
  <c r="D760" i="10"/>
  <c r="D761" i="10"/>
  <c r="D762" i="10"/>
  <c r="D763" i="10"/>
  <c r="D764" i="10"/>
  <c r="D765" i="10"/>
  <c r="D766" i="10"/>
  <c r="D767" i="10"/>
  <c r="D768" i="10"/>
  <c r="D769" i="10"/>
  <c r="D770" i="10"/>
  <c r="D771" i="10"/>
  <c r="D772" i="10"/>
  <c r="D773" i="10"/>
  <c r="D774" i="10"/>
  <c r="D775" i="10"/>
  <c r="D776" i="10"/>
  <c r="D777" i="10"/>
  <c r="D778" i="10"/>
  <c r="D779" i="10"/>
  <c r="D780" i="10"/>
  <c r="D781" i="10"/>
  <c r="D782" i="10"/>
  <c r="D783" i="10"/>
  <c r="D784" i="10"/>
  <c r="D785" i="10"/>
  <c r="D786" i="10"/>
  <c r="D787" i="10"/>
  <c r="D788" i="10"/>
  <c r="D789" i="10"/>
  <c r="D790" i="10"/>
  <c r="D791" i="10"/>
  <c r="D792" i="10"/>
  <c r="D793" i="10"/>
  <c r="D794" i="10"/>
  <c r="D795" i="10"/>
  <c r="D796" i="10"/>
  <c r="D797" i="10"/>
  <c r="D798" i="10"/>
  <c r="D799" i="10"/>
  <c r="D800" i="10"/>
  <c r="D801" i="10"/>
  <c r="D802" i="10"/>
  <c r="D803" i="10"/>
  <c r="D804" i="10"/>
  <c r="D805" i="10"/>
  <c r="D806" i="10"/>
  <c r="D807" i="10"/>
  <c r="D808" i="10"/>
  <c r="D809" i="10"/>
  <c r="D810" i="10"/>
  <c r="D811" i="10"/>
  <c r="D812" i="10"/>
  <c r="D813" i="10"/>
  <c r="D814" i="10"/>
  <c r="D815" i="10"/>
  <c r="D816" i="10"/>
  <c r="D817" i="10"/>
  <c r="D818" i="10"/>
  <c r="D819" i="10"/>
  <c r="D820" i="10"/>
  <c r="D821" i="10"/>
  <c r="D822" i="10"/>
  <c r="D823" i="10"/>
  <c r="D824" i="10"/>
  <c r="D825" i="10"/>
  <c r="D826" i="10"/>
  <c r="D827" i="10"/>
  <c r="D828" i="10"/>
  <c r="D829" i="10"/>
  <c r="D830" i="10"/>
  <c r="D831" i="10"/>
  <c r="D832" i="10"/>
  <c r="D833" i="10"/>
  <c r="D834" i="10"/>
  <c r="D835" i="10"/>
  <c r="D836" i="10"/>
  <c r="D837" i="10"/>
  <c r="D838" i="10"/>
  <c r="D839" i="10"/>
  <c r="D840" i="10"/>
  <c r="D841" i="10"/>
  <c r="D842" i="10"/>
  <c r="D843" i="10"/>
  <c r="D844" i="10"/>
  <c r="D845" i="10"/>
  <c r="D846" i="10"/>
  <c r="D847" i="10"/>
  <c r="D848" i="10"/>
  <c r="D849" i="10"/>
  <c r="D850" i="10"/>
  <c r="D851" i="10"/>
  <c r="D852" i="10"/>
  <c r="D853" i="10"/>
  <c r="D854" i="10"/>
  <c r="D855" i="10"/>
  <c r="D856" i="10"/>
  <c r="D857" i="10"/>
  <c r="D858" i="10"/>
  <c r="D859" i="10"/>
  <c r="D860" i="10"/>
  <c r="D861" i="10"/>
  <c r="D862" i="10"/>
  <c r="D863" i="10"/>
  <c r="D864" i="10"/>
  <c r="D865" i="10"/>
  <c r="D866" i="10"/>
  <c r="D867" i="10"/>
  <c r="D868" i="10"/>
  <c r="D869" i="10"/>
  <c r="D870" i="10"/>
  <c r="D871" i="10"/>
  <c r="D872" i="10"/>
  <c r="D873" i="10"/>
  <c r="D874" i="10"/>
  <c r="D875" i="10"/>
  <c r="D876" i="10"/>
  <c r="D877" i="10"/>
  <c r="D878" i="10"/>
  <c r="D879" i="10"/>
  <c r="D880" i="10"/>
  <c r="D881" i="10"/>
  <c r="D882" i="10"/>
  <c r="D883" i="10"/>
  <c r="D884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950" i="10"/>
  <c r="D951" i="10"/>
  <c r="D952" i="10"/>
  <c r="D953" i="10"/>
  <c r="D954" i="10"/>
  <c r="D955" i="10"/>
  <c r="D956" i="10"/>
  <c r="D957" i="10"/>
  <c r="D958" i="10"/>
  <c r="D959" i="10"/>
  <c r="D960" i="10"/>
  <c r="D961" i="10"/>
  <c r="D962" i="10"/>
  <c r="D963" i="10"/>
  <c r="D964" i="10"/>
  <c r="D965" i="10"/>
  <c r="D966" i="10"/>
  <c r="D967" i="10"/>
  <c r="D968" i="10"/>
  <c r="D969" i="10"/>
  <c r="D970" i="10"/>
  <c r="D971" i="10"/>
  <c r="D972" i="10"/>
  <c r="D973" i="10"/>
  <c r="D974" i="10"/>
  <c r="D975" i="10"/>
  <c r="D976" i="10"/>
  <c r="D977" i="10"/>
  <c r="D978" i="10"/>
  <c r="D979" i="10"/>
  <c r="D980" i="10"/>
  <c r="D981" i="10"/>
  <c r="D982" i="10"/>
  <c r="D983" i="10"/>
  <c r="D984" i="10"/>
  <c r="D985" i="10"/>
  <c r="D986" i="10"/>
  <c r="D987" i="10"/>
  <c r="D988" i="10"/>
  <c r="D989" i="10"/>
  <c r="D990" i="10"/>
  <c r="D991" i="10"/>
  <c r="B6" i="4" l="1"/>
  <c r="C13" i="9"/>
  <c r="C6" i="9"/>
  <c r="B6" i="5" l="1"/>
  <c r="C7" i="5" s="1"/>
  <c r="C14" i="5" s="1"/>
  <c r="B28" i="5" s="1"/>
  <c r="B16" i="9"/>
  <c r="B17" i="9" s="1"/>
  <c r="B18" i="9" s="1"/>
  <c r="C23" i="4"/>
  <c r="C20" i="4"/>
  <c r="B25" i="4" s="1"/>
  <c r="C12" i="4"/>
  <c r="C7" i="4"/>
  <c r="B14" i="4" s="1"/>
  <c r="B28" i="4" l="1"/>
</calcChain>
</file>

<file path=xl/sharedStrings.xml><?xml version="1.0" encoding="utf-8"?>
<sst xmlns="http://schemas.openxmlformats.org/spreadsheetml/2006/main" count="168" uniqueCount="112">
  <si>
    <t>Company Name</t>
  </si>
  <si>
    <t>Last Name</t>
  </si>
  <si>
    <t>First Name</t>
  </si>
  <si>
    <t>Address Line 1</t>
  </si>
  <si>
    <t>Address Line 2</t>
  </si>
  <si>
    <t>City</t>
  </si>
  <si>
    <t>State</t>
  </si>
  <si>
    <t>Zip Code</t>
  </si>
  <si>
    <t>Price/Unit</t>
  </si>
  <si>
    <t>Social Security No.</t>
  </si>
  <si>
    <t>Salary</t>
  </si>
  <si>
    <t>Withholdings</t>
  </si>
  <si>
    <t>Assets</t>
  </si>
  <si>
    <t>Cash</t>
  </si>
  <si>
    <t>Accounts Receivable</t>
  </si>
  <si>
    <t>Inventory</t>
  </si>
  <si>
    <t>Accounts Payable</t>
  </si>
  <si>
    <t>Notes Payable</t>
  </si>
  <si>
    <t>Accruals</t>
  </si>
  <si>
    <t>Total Assets</t>
  </si>
  <si>
    <t>Total Current Assets</t>
  </si>
  <si>
    <t>Land, Buildings</t>
  </si>
  <si>
    <t>Equipment</t>
  </si>
  <si>
    <t>Furniture, Fixtures</t>
  </si>
  <si>
    <t>Total Fixed Assets</t>
  </si>
  <si>
    <t>Total Current Liabilities</t>
  </si>
  <si>
    <t>Mortgage</t>
  </si>
  <si>
    <t>Total Long Term Debt</t>
  </si>
  <si>
    <t>Total Liabilities</t>
  </si>
  <si>
    <t>Date</t>
  </si>
  <si>
    <t>Liabilities</t>
  </si>
  <si>
    <t>Net Worth (Assets - Liabilities)</t>
  </si>
  <si>
    <t>Summary</t>
  </si>
  <si>
    <t>Amount</t>
  </si>
  <si>
    <t>Notes</t>
  </si>
  <si>
    <t>Bob</t>
  </si>
  <si>
    <t>Smith</t>
  </si>
  <si>
    <t>Champaign</t>
  </si>
  <si>
    <t>IL</t>
  </si>
  <si>
    <t>FICA</t>
  </si>
  <si>
    <t>Medicare</t>
  </si>
  <si>
    <t>Gross Pay</t>
  </si>
  <si>
    <t>Net Pay</t>
  </si>
  <si>
    <t>Federal Income Tax</t>
  </si>
  <si>
    <t>State Income Tax</t>
  </si>
  <si>
    <t>Sales</t>
  </si>
  <si>
    <t>COGS</t>
  </si>
  <si>
    <t>Gross Profit</t>
  </si>
  <si>
    <t>Income</t>
  </si>
  <si>
    <t>Expenses</t>
  </si>
  <si>
    <t>Payroll</t>
  </si>
  <si>
    <t>Payroll Withholding</t>
  </si>
  <si>
    <t>Bills</t>
  </si>
  <si>
    <t>Annual Expenses</t>
  </si>
  <si>
    <t>Total Expenses</t>
  </si>
  <si>
    <t>Operating Income</t>
  </si>
  <si>
    <t>Income Taxes</t>
  </si>
  <si>
    <t>Net Income</t>
  </si>
  <si>
    <t>Part</t>
  </si>
  <si>
    <t>Price / Unit</t>
  </si>
  <si>
    <t>Quantity</t>
  </si>
  <si>
    <t>Value</t>
  </si>
  <si>
    <t>Re-Order</t>
  </si>
  <si>
    <t>Jane</t>
  </si>
  <si>
    <t>Doe</t>
  </si>
  <si>
    <t>123 Generic St.</t>
  </si>
  <si>
    <t>Complete Units in Stock</t>
  </si>
  <si>
    <t>Value of Inventory (parts)</t>
  </si>
  <si>
    <t>Number of Units</t>
  </si>
  <si>
    <t>Total Sale</t>
  </si>
  <si>
    <t>COGS / unit</t>
  </si>
  <si>
    <t>Date of Sale</t>
  </si>
  <si>
    <t>Date of Purchase</t>
  </si>
  <si>
    <t>Units that can be built</t>
  </si>
  <si>
    <t>payroll</t>
  </si>
  <si>
    <t>Smith Co</t>
  </si>
  <si>
    <t>Toys R Us</t>
  </si>
  <si>
    <t>Online Hobbies</t>
  </si>
  <si>
    <t>Tower Hobbies</t>
  </si>
  <si>
    <t>Hobbytown USA</t>
  </si>
  <si>
    <t>Walmart</t>
  </si>
  <si>
    <t>Kmart</t>
  </si>
  <si>
    <t>Target</t>
  </si>
  <si>
    <t>Local Store</t>
  </si>
  <si>
    <t>Tire Store</t>
  </si>
  <si>
    <t>Mr Mixers</t>
  </si>
  <si>
    <t>Casting Man</t>
  </si>
  <si>
    <t>Castings for U</t>
  </si>
  <si>
    <t>Acme Plastics</t>
  </si>
  <si>
    <t>Micro Axles</t>
  </si>
  <si>
    <t>All Rims</t>
  </si>
  <si>
    <t>Screws for U</t>
  </si>
  <si>
    <t>Many Boxes</t>
  </si>
  <si>
    <t>Labor for U</t>
  </si>
  <si>
    <t>Master Packing</t>
  </si>
  <si>
    <t>Tires</t>
  </si>
  <si>
    <t>Mixer</t>
  </si>
  <si>
    <t>Body Casting</t>
  </si>
  <si>
    <t>Cab Casting</t>
  </si>
  <si>
    <t>Windshield</t>
  </si>
  <si>
    <t>Axles</t>
  </si>
  <si>
    <t>Rims</t>
  </si>
  <si>
    <t>Screw</t>
  </si>
  <si>
    <t>Labor</t>
  </si>
  <si>
    <t>Box</t>
  </si>
  <si>
    <t>Pack</t>
  </si>
  <si>
    <t>Parts per Unit</t>
  </si>
  <si>
    <t>Num Units that can be built from available parts</t>
  </si>
  <si>
    <t>brian</t>
  </si>
  <si>
    <t>lilly</t>
  </si>
  <si>
    <t>whatever st</t>
  </si>
  <si>
    <t>yacht 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</si>
</sst>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1" fillId="2" borderId="0" xfId="0" applyFont="1" applyFill="1"/>
    <xf numFmtId="14" fontId="0" fillId="0" borderId="0" xfId="0" applyNumberFormat="1"/>
    <xf numFmtId="44" fontId="0" fillId="0" borderId="0" xfId="0" applyNumberFormat="1"/>
    <xf numFmtId="7" fontId="0" fillId="0" borderId="0" xfId="0" applyNumberFormat="1"/>
    <xf numFmtId="0" fontId="0" fillId="0" borderId="0" xfId="0" applyAlignment="1">
      <alignment wrapText="1"/>
    </xf>
    <xf numFmtId="44" fontId="0" fillId="0" borderId="0" xfId="1" applyFont="1"/>
    <xf numFmtId="0" fontId="0" fillId="0" borderId="0" xfId="0" applyNumberFormat="1"/>
    <xf numFmtId="0" fontId="1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A71-7ED0-49A3-A787-2332E1FD7E5B}">
  <sheetPr codeName="Sheet10"/>
  <dimension ref="A1:E29"/>
  <sheetViews>
    <sheetView workbookViewId="0">
      <selection activeCell="A2" sqref="A2:XFD2"/>
    </sheetView>
  </sheetViews>
  <sheetFormatPr defaultColWidth="17.44140625" defaultRowHeight="14.4" x14ac:dyDescent="0.3"/>
  <cols>
    <col min="5" max="5" width="17.44140625" style="5"/>
  </cols>
  <sheetData>
    <row r="1" spans="1:5" x14ac:dyDescent="0.3">
      <c r="A1" t="s">
        <v>71</v>
      </c>
      <c r="B1" t="s">
        <v>0</v>
      </c>
      <c r="C1" t="s">
        <v>68</v>
      </c>
      <c r="D1" t="s">
        <v>8</v>
      </c>
      <c r="E1" s="5" t="s">
        <v>69</v>
      </c>
    </row>
    <row r="2" spans="1:5" x14ac:dyDescent="0.3">
      <c r="A2" s="4">
        <v>37289</v>
      </c>
      <c r="B2" t="s">
        <v>76</v>
      </c>
      <c r="C2">
        <v>250</v>
      </c>
      <c r="D2">
        <v>2.5</v>
      </c>
      <c r="E2" s="5">
        <v>625</v>
      </c>
    </row>
    <row r="3" spans="1:5" x14ac:dyDescent="0.3">
      <c r="A3" s="4">
        <v>37289</v>
      </c>
      <c r="B3" t="s">
        <v>75</v>
      </c>
      <c r="C3">
        <v>500</v>
      </c>
      <c r="D3">
        <v>2.5</v>
      </c>
      <c r="E3" s="5">
        <v>1250</v>
      </c>
    </row>
    <row r="4" spans="1:5" x14ac:dyDescent="0.3">
      <c r="A4" s="4"/>
    </row>
    <row r="5" spans="1:5" x14ac:dyDescent="0.3">
      <c r="A5" s="4"/>
    </row>
    <row r="6" spans="1:5" x14ac:dyDescent="0.3">
      <c r="A6" s="4"/>
    </row>
    <row r="7" spans="1:5" x14ac:dyDescent="0.3">
      <c r="A7" s="4"/>
    </row>
    <row r="8" spans="1:5" x14ac:dyDescent="0.3">
      <c r="A8" s="4"/>
    </row>
    <row r="9" spans="1:5" x14ac:dyDescent="0.3">
      <c r="A9" s="4"/>
    </row>
    <row r="10" spans="1:5" x14ac:dyDescent="0.3">
      <c r="D10" s="6"/>
    </row>
    <row r="11" spans="1:5" x14ac:dyDescent="0.3">
      <c r="D11" s="6"/>
    </row>
    <row r="12" spans="1:5" x14ac:dyDescent="0.3">
      <c r="A12" s="4"/>
      <c r="D12" s="6"/>
    </row>
    <row r="13" spans="1:5" x14ac:dyDescent="0.3">
      <c r="D13" s="6"/>
    </row>
    <row r="14" spans="1:5" x14ac:dyDescent="0.3">
      <c r="A14" s="4"/>
      <c r="D14" s="6"/>
    </row>
    <row r="15" spans="1:5" x14ac:dyDescent="0.3">
      <c r="A15" s="4"/>
    </row>
    <row r="16" spans="1:5" x14ac:dyDescent="0.3">
      <c r="B16" s="4"/>
    </row>
    <row r="17" spans="1:2" x14ac:dyDescent="0.3">
      <c r="B17" s="4"/>
    </row>
    <row r="29" spans="1:2" x14ac:dyDescent="0.3">
      <c r="A29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6F1AA-7C3C-4116-9BE6-8EBCEB5F3155}">
  <sheetPr codeName="Sheet1"/>
  <dimension ref="A1:N56"/>
  <sheetViews>
    <sheetView zoomScale="115" zoomScaleNormal="115" workbookViewId="0">
      <selection activeCell="I10" sqref="I10"/>
    </sheetView>
  </sheetViews>
  <sheetFormatPr defaultRowHeight="14.4" x14ac:dyDescent="0.3"/>
  <cols>
    <col min="1" max="1" width="15" bestFit="1" customWidth="1"/>
    <col min="2" max="2" width="10.6640625" bestFit="1" customWidth="1"/>
    <col min="3" max="3" width="10.44140625" bestFit="1" customWidth="1"/>
    <col min="4" max="5" width="14.109375" bestFit="1" customWidth="1"/>
    <col min="6" max="6" width="8.5546875" customWidth="1"/>
    <col min="7" max="7" width="5.6640625" bestFit="1" customWidth="1"/>
    <col min="8" max="8" width="8.77734375" bestFit="1" customWidth="1"/>
    <col min="9" max="9" width="15.5546875" bestFit="1" customWidth="1"/>
    <col min="10" max="10" width="12.109375" bestFit="1" customWidth="1"/>
    <col min="11" max="11" width="8.77734375" customWidth="1"/>
    <col min="12" max="12" width="13" bestFit="1" customWidth="1"/>
    <col min="14" max="14" width="113" bestFit="1" customWidth="1"/>
  </cols>
  <sheetData>
    <row r="1" spans="1:12" x14ac:dyDescent="0.3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2" x14ac:dyDescent="0.3">
      <c r="A2" t="s">
        <v>75</v>
      </c>
      <c r="I2">
        <v>2.5</v>
      </c>
    </row>
    <row r="3" spans="1:12" x14ac:dyDescent="0.3">
      <c r="A3" t="s">
        <v>76</v>
      </c>
      <c r="I3">
        <v>2.5</v>
      </c>
    </row>
    <row r="4" spans="1:12" x14ac:dyDescent="0.3">
      <c r="A4" t="s">
        <v>77</v>
      </c>
      <c r="I4">
        <v>2.5</v>
      </c>
    </row>
    <row r="5" spans="1:12" x14ac:dyDescent="0.3">
      <c r="A5" t="s">
        <v>78</v>
      </c>
      <c r="I5">
        <v>2.5</v>
      </c>
    </row>
    <row r="6" spans="1:12" x14ac:dyDescent="0.3">
      <c r="A6" t="s">
        <v>79</v>
      </c>
      <c r="I6">
        <v>2.5</v>
      </c>
    </row>
    <row r="7" spans="1:12" x14ac:dyDescent="0.3">
      <c r="A7" t="s">
        <v>80</v>
      </c>
      <c r="I7">
        <v>2.5</v>
      </c>
      <c r="L7" s="4"/>
    </row>
    <row r="8" spans="1:12" x14ac:dyDescent="0.3">
      <c r="A8" t="s">
        <v>81</v>
      </c>
      <c r="I8">
        <v>2.5</v>
      </c>
      <c r="L8" s="4"/>
    </row>
    <row r="9" spans="1:12" x14ac:dyDescent="0.3">
      <c r="A9" t="s">
        <v>82</v>
      </c>
      <c r="I9">
        <v>2.5</v>
      </c>
      <c r="L9" s="4"/>
    </row>
    <row r="10" spans="1:12" x14ac:dyDescent="0.3">
      <c r="A10" t="s">
        <v>83</v>
      </c>
      <c r="I10">
        <v>2.5</v>
      </c>
      <c r="L10" s="4"/>
    </row>
    <row r="11" spans="1:12" x14ac:dyDescent="0.3">
      <c r="L11" s="4"/>
    </row>
    <row r="12" spans="1:12" x14ac:dyDescent="0.3">
      <c r="L12" s="4"/>
    </row>
    <row r="13" spans="1:12" x14ac:dyDescent="0.3">
      <c r="L13" s="4"/>
    </row>
    <row r="14" spans="1:12" x14ac:dyDescent="0.3">
      <c r="L14" s="4"/>
    </row>
    <row r="15" spans="1:12" x14ac:dyDescent="0.3">
      <c r="L15" s="4"/>
    </row>
    <row r="16" spans="1:12" x14ac:dyDescent="0.3">
      <c r="L16" s="4"/>
    </row>
    <row r="17" spans="12:14" x14ac:dyDescent="0.3">
      <c r="L17" s="4"/>
    </row>
    <row r="18" spans="12:14" x14ac:dyDescent="0.3">
      <c r="L18" s="4"/>
    </row>
    <row r="19" spans="12:14" x14ac:dyDescent="0.3">
      <c r="L19" s="4"/>
    </row>
    <row r="20" spans="12:14" x14ac:dyDescent="0.3">
      <c r="L20" s="4"/>
    </row>
    <row r="30" spans="12:14" x14ac:dyDescent="0.3">
      <c r="N30" s="4"/>
    </row>
    <row r="31" spans="12:14" x14ac:dyDescent="0.3">
      <c r="N31" s="4"/>
    </row>
    <row r="32" spans="12:14" x14ac:dyDescent="0.3">
      <c r="N32" s="4"/>
    </row>
    <row r="33" spans="14:14" x14ac:dyDescent="0.3">
      <c r="N33" s="4"/>
    </row>
    <row r="51" spans="10:10" x14ac:dyDescent="0.3">
      <c r="J51" s="4"/>
    </row>
    <row r="52" spans="10:10" x14ac:dyDescent="0.3">
      <c r="J52" s="4"/>
    </row>
    <row r="53" spans="10:10" x14ac:dyDescent="0.3">
      <c r="J53" s="4"/>
    </row>
    <row r="54" spans="10:10" x14ac:dyDescent="0.3">
      <c r="J54" s="4"/>
    </row>
    <row r="55" spans="10:10" x14ac:dyDescent="0.3">
      <c r="J55" s="4"/>
    </row>
    <row r="56" spans="10:10" x14ac:dyDescent="0.3">
      <c r="J56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95750-8EE0-47F1-B718-0B0250E09B9A}">
  <sheetPr codeName="Sheet11"/>
  <dimension ref="A1:E2"/>
  <sheetViews>
    <sheetView zoomScale="115" zoomScaleNormal="115" workbookViewId="0">
      <selection activeCell="B2" sqref="B2"/>
    </sheetView>
  </sheetViews>
  <sheetFormatPr defaultColWidth="17.109375" defaultRowHeight="14.4" x14ac:dyDescent="0.3"/>
  <sheetData>
    <row r="1" spans="1:5" x14ac:dyDescent="0.3">
      <c r="A1" t="s">
        <v>72</v>
      </c>
      <c r="B1" t="s">
        <v>0</v>
      </c>
      <c r="C1" t="s">
        <v>68</v>
      </c>
      <c r="D1" t="s">
        <v>8</v>
      </c>
      <c r="E1" t="s">
        <v>69</v>
      </c>
    </row>
    <row r="2" spans="1:5" x14ac:dyDescent="0.3">
      <c r="A2" s="4"/>
      <c r="D2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B4297-DFEA-4BBC-9A53-02191EF452E6}">
  <sheetPr codeName="Sheet2"/>
  <dimension ref="A1:H12"/>
  <sheetViews>
    <sheetView zoomScale="115" zoomScaleNormal="115" workbookViewId="0">
      <selection activeCell="D8" sqref="D8"/>
    </sheetView>
  </sheetViews>
  <sheetFormatPr defaultRowHeight="14.4" x14ac:dyDescent="0.3"/>
  <cols>
    <col min="1" max="1" width="16" bestFit="1" customWidth="1"/>
    <col min="2" max="2" width="13.109375" customWidth="1"/>
    <col min="3" max="3" width="11.33203125" customWidth="1"/>
    <col min="4" max="5" width="13.33203125" bestFit="1" customWidth="1"/>
    <col min="6" max="6" width="10.5546875" bestFit="1" customWidth="1"/>
    <col min="7" max="7" width="5.44140625" bestFit="1" customWidth="1"/>
    <col min="8" max="8" width="8.33203125" bestFit="1" customWidth="1"/>
  </cols>
  <sheetData>
    <row r="1" spans="1:8" x14ac:dyDescent="0.3">
      <c r="A1" t="s">
        <v>0</v>
      </c>
      <c r="B1" t="s">
        <v>58</v>
      </c>
      <c r="C1" t="s">
        <v>8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t="s">
        <v>84</v>
      </c>
      <c r="B2" t="s">
        <v>95</v>
      </c>
      <c r="C2">
        <v>0.02</v>
      </c>
    </row>
    <row r="3" spans="1:8" x14ac:dyDescent="0.3">
      <c r="A3" t="s">
        <v>85</v>
      </c>
      <c r="B3" t="s">
        <v>96</v>
      </c>
      <c r="C3" s="9">
        <v>0.05</v>
      </c>
    </row>
    <row r="4" spans="1:8" x14ac:dyDescent="0.3">
      <c r="A4" t="s">
        <v>86</v>
      </c>
      <c r="B4" t="s">
        <v>97</v>
      </c>
      <c r="C4" s="9">
        <v>0.1</v>
      </c>
    </row>
    <row r="5" spans="1:8" x14ac:dyDescent="0.3">
      <c r="A5" t="s">
        <v>87</v>
      </c>
      <c r="B5" t="s">
        <v>98</v>
      </c>
      <c r="C5" s="9">
        <v>0.05</v>
      </c>
    </row>
    <row r="6" spans="1:8" x14ac:dyDescent="0.3">
      <c r="A6" t="s">
        <v>88</v>
      </c>
      <c r="B6" t="s">
        <v>99</v>
      </c>
      <c r="C6" s="9">
        <v>0.1</v>
      </c>
    </row>
    <row r="7" spans="1:8" x14ac:dyDescent="0.3">
      <c r="A7" t="s">
        <v>89</v>
      </c>
      <c r="B7" t="s">
        <v>100</v>
      </c>
      <c r="C7" s="9">
        <v>0.01</v>
      </c>
    </row>
    <row r="8" spans="1:8" x14ac:dyDescent="0.3">
      <c r="A8" t="s">
        <v>90</v>
      </c>
      <c r="B8" t="s">
        <v>101</v>
      </c>
      <c r="C8" s="9">
        <v>0.01</v>
      </c>
    </row>
    <row r="9" spans="1:8" x14ac:dyDescent="0.3">
      <c r="A9" t="s">
        <v>91</v>
      </c>
      <c r="B9" t="s">
        <v>102</v>
      </c>
      <c r="C9">
        <v>0.02</v>
      </c>
    </row>
    <row r="10" spans="1:8" x14ac:dyDescent="0.3">
      <c r="A10" t="s">
        <v>92</v>
      </c>
      <c r="B10" t="s">
        <v>104</v>
      </c>
      <c r="C10" s="9">
        <v>0.05</v>
      </c>
    </row>
    <row r="11" spans="1:8" x14ac:dyDescent="0.3">
      <c r="A11" t="s">
        <v>93</v>
      </c>
      <c r="B11" t="s">
        <v>103</v>
      </c>
      <c r="C11" s="9">
        <v>0.1</v>
      </c>
    </row>
    <row r="12" spans="1:8" x14ac:dyDescent="0.3">
      <c r="A12" t="s">
        <v>94</v>
      </c>
      <c r="B12" t="s">
        <v>105</v>
      </c>
      <c r="C12" s="9">
        <v>0.02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F2403-4133-440C-8840-B71317C94E34}">
  <sheetPr codeName="Sheet8"/>
  <dimension ref="A1:M991"/>
  <sheetViews>
    <sheetView tabSelected="1" zoomScale="106" zoomScaleNormal="100" workbookViewId="0">
      <selection activeCell="I5" sqref="I5"/>
    </sheetView>
  </sheetViews>
  <sheetFormatPr defaultColWidth="10.88671875" defaultRowHeight="14.4" x14ac:dyDescent="0.3"/>
  <cols>
    <col min="1" max="1" width="12.88671875" customWidth="1"/>
    <col min="2" max="2" width="12.6640625" style="5" customWidth="1"/>
    <col min="4" max="4" width="12.44140625" customWidth="1"/>
    <col min="6" max="6" width="16" customWidth="1"/>
    <col min="7" max="7" width="22" bestFit="1" customWidth="1"/>
    <col min="8" max="8" width="12" customWidth="1"/>
    <col min="9" max="9" width="20.77734375" bestFit="1" customWidth="1"/>
    <col min="10" max="10" width="20.77734375" customWidth="1"/>
    <col min="12" max="12" width="12.21875" bestFit="1" customWidth="1"/>
  </cols>
  <sheetData>
    <row r="1" spans="1:13" x14ac:dyDescent="0.3">
      <c r="A1" t="s">
        <v>58</v>
      </c>
      <c r="B1" s="5" t="s">
        <v>59</v>
      </c>
      <c r="C1" t="s">
        <v>60</v>
      </c>
      <c r="D1" t="s">
        <v>61</v>
      </c>
      <c r="E1" t="s">
        <v>62</v>
      </c>
      <c r="G1" t="s">
        <v>67</v>
      </c>
      <c r="H1" t="s">
        <v>70</v>
      </c>
      <c r="I1" t="s">
        <v>66</v>
      </c>
      <c r="J1" t="s">
        <v>73</v>
      </c>
      <c r="L1" t="s">
        <v>106</v>
      </c>
      <c r="M1" t="s">
        <v>107</v>
      </c>
    </row>
    <row r="2" spans="1:13" x14ac:dyDescent="0.3">
      <c r="A2" t="str">
        <f>vendors!B3</f>
        <v>Mixer</v>
      </c>
      <c r="B2" s="6">
        <v>1</v>
      </c>
      <c r="C2">
        <v>1000</v>
      </c>
      <c r="D2" s="5">
        <f>C2*B2</f>
        <v>1000</v>
      </c>
      <c r="E2" t="str">
        <f>IF(C2&lt;500, "X", "")</f>
        <v/>
      </c>
      <c r="G2" s="5">
        <f>SUM(D2:D1000) +H2*I2</f>
        <v>1792.5</v>
      </c>
      <c r="H2" s="5">
        <v>0.77</v>
      </c>
      <c r="I2">
        <v>250</v>
      </c>
      <c r="J2">
        <f>MIN(M:M)</f>
        <v>250</v>
      </c>
      <c r="L2">
        <v>1</v>
      </c>
      <c r="M2">
        <f>C2/L2</f>
        <v>1000</v>
      </c>
    </row>
    <row r="3" spans="1:13" x14ac:dyDescent="0.3">
      <c r="A3" t="str">
        <f>vendors!B4</f>
        <v>Body Casting</v>
      </c>
      <c r="B3" s="5">
        <f>vendors!C4</f>
        <v>0.1</v>
      </c>
      <c r="C3">
        <v>1000</v>
      </c>
      <c r="D3" s="5">
        <f t="shared" ref="D3:D6" si="0">C3*B3</f>
        <v>100</v>
      </c>
      <c r="E3" t="str">
        <f t="shared" ref="E3:E66" si="1">IF(C3&lt;500, "X", "")</f>
        <v/>
      </c>
      <c r="L3">
        <v>1</v>
      </c>
      <c r="M3">
        <f t="shared" ref="M3:M11" si="2">C3/L3</f>
        <v>1000</v>
      </c>
    </row>
    <row r="4" spans="1:13" x14ac:dyDescent="0.3">
      <c r="A4" t="str">
        <f>vendors!B5</f>
        <v>Cab Casting</v>
      </c>
      <c r="B4" s="5">
        <f>vendors!C5</f>
        <v>0.05</v>
      </c>
      <c r="C4">
        <v>1000</v>
      </c>
      <c r="D4" s="5">
        <f t="shared" si="0"/>
        <v>50</v>
      </c>
      <c r="E4" t="str">
        <f t="shared" si="1"/>
        <v/>
      </c>
      <c r="L4">
        <v>1</v>
      </c>
      <c r="M4">
        <f t="shared" si="2"/>
        <v>1000</v>
      </c>
    </row>
    <row r="5" spans="1:13" x14ac:dyDescent="0.3">
      <c r="A5" t="str">
        <f>vendors!B6</f>
        <v>Windshield</v>
      </c>
      <c r="B5" s="5">
        <f>vendors!C6</f>
        <v>0.1</v>
      </c>
      <c r="C5">
        <v>1000</v>
      </c>
      <c r="D5" s="5">
        <f t="shared" si="0"/>
        <v>100</v>
      </c>
      <c r="E5" t="str">
        <f t="shared" si="1"/>
        <v/>
      </c>
      <c r="L5">
        <v>1</v>
      </c>
      <c r="M5">
        <f t="shared" si="2"/>
        <v>1000</v>
      </c>
    </row>
    <row r="6" spans="1:13" x14ac:dyDescent="0.3">
      <c r="A6" t="str">
        <f>vendors!B7</f>
        <v>Axles</v>
      </c>
      <c r="B6" s="5">
        <f>vendors!C7</f>
        <v>0.01</v>
      </c>
      <c r="C6">
        <v>8000</v>
      </c>
      <c r="D6" s="5">
        <f t="shared" si="0"/>
        <v>80</v>
      </c>
      <c r="E6" t="str">
        <f t="shared" si="1"/>
        <v/>
      </c>
      <c r="L6">
        <v>4</v>
      </c>
      <c r="M6">
        <f t="shared" si="2"/>
        <v>2000</v>
      </c>
    </row>
    <row r="7" spans="1:13" x14ac:dyDescent="0.3">
      <c r="A7" t="str">
        <f>vendors!B8</f>
        <v>Rims</v>
      </c>
      <c r="B7" s="5">
        <f>vendors!C8</f>
        <v>0.01</v>
      </c>
      <c r="C7">
        <v>8000</v>
      </c>
      <c r="D7">
        <f t="shared" ref="D7:D66" si="3">C7*B7</f>
        <v>80</v>
      </c>
      <c r="E7" t="str">
        <f t="shared" si="1"/>
        <v/>
      </c>
      <c r="L7">
        <v>4</v>
      </c>
      <c r="M7">
        <f t="shared" si="2"/>
        <v>2000</v>
      </c>
    </row>
    <row r="8" spans="1:13" x14ac:dyDescent="0.3">
      <c r="A8" t="str">
        <f>vendors!B9</f>
        <v>Screw</v>
      </c>
      <c r="B8" s="5">
        <f>vendors!C9</f>
        <v>0.02</v>
      </c>
      <c r="C8">
        <v>1000</v>
      </c>
      <c r="D8">
        <f t="shared" si="3"/>
        <v>20</v>
      </c>
      <c r="E8" t="str">
        <f t="shared" si="1"/>
        <v/>
      </c>
      <c r="L8">
        <v>4</v>
      </c>
      <c r="M8">
        <f t="shared" si="2"/>
        <v>250</v>
      </c>
    </row>
    <row r="9" spans="1:13" x14ac:dyDescent="0.3">
      <c r="A9" t="str">
        <f>vendors!B10</f>
        <v>Box</v>
      </c>
      <c r="B9" s="5">
        <f>vendors!C10</f>
        <v>0.05</v>
      </c>
      <c r="C9">
        <v>1000</v>
      </c>
      <c r="D9">
        <f t="shared" si="3"/>
        <v>50</v>
      </c>
      <c r="E9" t="str">
        <f t="shared" si="1"/>
        <v/>
      </c>
      <c r="L9">
        <v>1</v>
      </c>
      <c r="M9">
        <f t="shared" si="2"/>
        <v>1000</v>
      </c>
    </row>
    <row r="10" spans="1:13" x14ac:dyDescent="0.3">
      <c r="A10" t="str">
        <f>vendors!B11</f>
        <v>Labor</v>
      </c>
      <c r="B10" s="5">
        <f>vendors!C11</f>
        <v>0.1</v>
      </c>
      <c r="C10">
        <v>1000</v>
      </c>
      <c r="D10">
        <f t="shared" si="3"/>
        <v>100</v>
      </c>
      <c r="E10" t="str">
        <f t="shared" si="1"/>
        <v/>
      </c>
      <c r="L10">
        <v>1</v>
      </c>
      <c r="M10">
        <f t="shared" si="2"/>
        <v>1000</v>
      </c>
    </row>
    <row r="11" spans="1:13" x14ac:dyDescent="0.3">
      <c r="A11" t="str">
        <f>vendors!B12</f>
        <v>Pack</v>
      </c>
      <c r="B11" s="5">
        <f>vendors!C12</f>
        <v>0.02</v>
      </c>
      <c r="C11">
        <v>1000</v>
      </c>
      <c r="D11">
        <f t="shared" si="3"/>
        <v>20</v>
      </c>
      <c r="E11" t="str">
        <f t="shared" si="1"/>
        <v/>
      </c>
      <c r="L11">
        <v>1</v>
      </c>
      <c r="M11">
        <f t="shared" si="2"/>
        <v>1000</v>
      </c>
    </row>
    <row r="12" spans="1:13" x14ac:dyDescent="0.3">
      <c r="A12">
        <f>vendors!B14</f>
        <v>0</v>
      </c>
      <c r="B12" s="5">
        <f>vendors!C14</f>
        <v>0</v>
      </c>
      <c r="D12">
        <f t="shared" si="3"/>
        <v>0</v>
      </c>
      <c r="E12" t="str">
        <f t="shared" si="1"/>
        <v>X</v>
      </c>
    </row>
    <row r="13" spans="1:13" x14ac:dyDescent="0.3">
      <c r="A13">
        <f>vendors!B15</f>
        <v>0</v>
      </c>
      <c r="B13" s="5">
        <f>vendors!C15</f>
        <v>0</v>
      </c>
      <c r="D13">
        <f t="shared" si="3"/>
        <v>0</v>
      </c>
      <c r="E13" t="str">
        <f t="shared" si="1"/>
        <v>X</v>
      </c>
    </row>
    <row r="14" spans="1:13" x14ac:dyDescent="0.3">
      <c r="A14">
        <f>vendors!B16</f>
        <v>0</v>
      </c>
      <c r="B14" s="5">
        <f>vendors!C16</f>
        <v>0</v>
      </c>
      <c r="D14">
        <f t="shared" si="3"/>
        <v>0</v>
      </c>
      <c r="E14" t="str">
        <f t="shared" si="1"/>
        <v>X</v>
      </c>
    </row>
    <row r="15" spans="1:13" x14ac:dyDescent="0.3">
      <c r="A15">
        <f>vendors!B17</f>
        <v>0</v>
      </c>
      <c r="B15" s="5">
        <f>vendors!C17</f>
        <v>0</v>
      </c>
      <c r="D15">
        <f t="shared" si="3"/>
        <v>0</v>
      </c>
      <c r="E15" t="str">
        <f t="shared" si="1"/>
        <v>X</v>
      </c>
    </row>
    <row r="16" spans="1:13" x14ac:dyDescent="0.3">
      <c r="A16">
        <f>vendors!B18</f>
        <v>0</v>
      </c>
      <c r="B16" s="5">
        <f>vendors!C18</f>
        <v>0</v>
      </c>
      <c r="D16">
        <f t="shared" si="3"/>
        <v>0</v>
      </c>
      <c r="E16" t="str">
        <f t="shared" si="1"/>
        <v>X</v>
      </c>
    </row>
    <row r="17" spans="1:5" x14ac:dyDescent="0.3">
      <c r="A17">
        <f>vendors!B19</f>
        <v>0</v>
      </c>
      <c r="B17" s="5">
        <f>vendors!C19</f>
        <v>0</v>
      </c>
      <c r="D17">
        <f t="shared" si="3"/>
        <v>0</v>
      </c>
      <c r="E17" t="str">
        <f t="shared" si="1"/>
        <v>X</v>
      </c>
    </row>
    <row r="18" spans="1:5" x14ac:dyDescent="0.3">
      <c r="A18">
        <f>vendors!B20</f>
        <v>0</v>
      </c>
      <c r="B18" s="5">
        <f>vendors!C20</f>
        <v>0</v>
      </c>
      <c r="D18">
        <f t="shared" si="3"/>
        <v>0</v>
      </c>
      <c r="E18" t="str">
        <f t="shared" si="1"/>
        <v>X</v>
      </c>
    </row>
    <row r="19" spans="1:5" x14ac:dyDescent="0.3">
      <c r="A19">
        <f>vendors!B21</f>
        <v>0</v>
      </c>
      <c r="B19" s="5">
        <f>vendors!C21</f>
        <v>0</v>
      </c>
      <c r="D19">
        <f t="shared" si="3"/>
        <v>0</v>
      </c>
      <c r="E19" t="str">
        <f t="shared" si="1"/>
        <v>X</v>
      </c>
    </row>
    <row r="20" spans="1:5" x14ac:dyDescent="0.3">
      <c r="A20">
        <f>vendors!B22</f>
        <v>0</v>
      </c>
      <c r="B20" s="5">
        <f>vendors!C22</f>
        <v>0</v>
      </c>
      <c r="D20">
        <f t="shared" si="3"/>
        <v>0</v>
      </c>
      <c r="E20" t="str">
        <f t="shared" si="1"/>
        <v>X</v>
      </c>
    </row>
    <row r="21" spans="1:5" x14ac:dyDescent="0.3">
      <c r="A21">
        <f>vendors!B23</f>
        <v>0</v>
      </c>
      <c r="B21" s="5">
        <f>vendors!C23</f>
        <v>0</v>
      </c>
      <c r="D21">
        <f t="shared" si="3"/>
        <v>0</v>
      </c>
      <c r="E21" t="str">
        <f t="shared" si="1"/>
        <v>X</v>
      </c>
    </row>
    <row r="22" spans="1:5" x14ac:dyDescent="0.3">
      <c r="A22">
        <f>vendors!B24</f>
        <v>0</v>
      </c>
      <c r="B22" s="5">
        <f>vendors!C24</f>
        <v>0</v>
      </c>
      <c r="D22">
        <f t="shared" si="3"/>
        <v>0</v>
      </c>
      <c r="E22" t="str">
        <f t="shared" si="1"/>
        <v>X</v>
      </c>
    </row>
    <row r="23" spans="1:5" x14ac:dyDescent="0.3">
      <c r="A23">
        <f>vendors!B25</f>
        <v>0</v>
      </c>
      <c r="B23" s="5">
        <f>vendors!C25</f>
        <v>0</v>
      </c>
      <c r="D23">
        <f t="shared" si="3"/>
        <v>0</v>
      </c>
      <c r="E23" t="str">
        <f t="shared" si="1"/>
        <v>X</v>
      </c>
    </row>
    <row r="24" spans="1:5" x14ac:dyDescent="0.3">
      <c r="A24">
        <f>vendors!B26</f>
        <v>0</v>
      </c>
      <c r="B24" s="5">
        <f>vendors!C26</f>
        <v>0</v>
      </c>
      <c r="D24">
        <f t="shared" si="3"/>
        <v>0</v>
      </c>
      <c r="E24" t="str">
        <f t="shared" si="1"/>
        <v>X</v>
      </c>
    </row>
    <row r="25" spans="1:5" x14ac:dyDescent="0.3">
      <c r="A25">
        <f>vendors!B27</f>
        <v>0</v>
      </c>
      <c r="B25" s="5">
        <f>vendors!C27</f>
        <v>0</v>
      </c>
      <c r="D25">
        <f t="shared" si="3"/>
        <v>0</v>
      </c>
      <c r="E25" t="str">
        <f t="shared" si="1"/>
        <v>X</v>
      </c>
    </row>
    <row r="26" spans="1:5" x14ac:dyDescent="0.3">
      <c r="A26">
        <f>vendors!B28</f>
        <v>0</v>
      </c>
      <c r="B26" s="5">
        <f>vendors!C28</f>
        <v>0</v>
      </c>
      <c r="D26">
        <f t="shared" si="3"/>
        <v>0</v>
      </c>
      <c r="E26" t="str">
        <f t="shared" si="1"/>
        <v>X</v>
      </c>
    </row>
    <row r="27" spans="1:5" x14ac:dyDescent="0.3">
      <c r="A27">
        <f>vendors!B29</f>
        <v>0</v>
      </c>
      <c r="B27" s="5">
        <f>vendors!C29</f>
        <v>0</v>
      </c>
      <c r="D27">
        <f t="shared" si="3"/>
        <v>0</v>
      </c>
      <c r="E27" t="str">
        <f t="shared" si="1"/>
        <v>X</v>
      </c>
    </row>
    <row r="28" spans="1:5" x14ac:dyDescent="0.3">
      <c r="A28">
        <f>vendors!B30</f>
        <v>0</v>
      </c>
      <c r="B28" s="5">
        <f>vendors!C30</f>
        <v>0</v>
      </c>
      <c r="D28">
        <f t="shared" si="3"/>
        <v>0</v>
      </c>
      <c r="E28" t="str">
        <f t="shared" si="1"/>
        <v>X</v>
      </c>
    </row>
    <row r="29" spans="1:5" x14ac:dyDescent="0.3">
      <c r="A29">
        <f>vendors!B31</f>
        <v>0</v>
      </c>
      <c r="B29" s="5">
        <f>vendors!C31</f>
        <v>0</v>
      </c>
      <c r="D29">
        <f t="shared" si="3"/>
        <v>0</v>
      </c>
      <c r="E29" t="str">
        <f t="shared" si="1"/>
        <v>X</v>
      </c>
    </row>
    <row r="30" spans="1:5" x14ac:dyDescent="0.3">
      <c r="A30">
        <f>vendors!B32</f>
        <v>0</v>
      </c>
      <c r="B30" s="5">
        <f>vendors!C32</f>
        <v>0</v>
      </c>
      <c r="D30">
        <f t="shared" si="3"/>
        <v>0</v>
      </c>
      <c r="E30" t="str">
        <f t="shared" si="1"/>
        <v>X</v>
      </c>
    </row>
    <row r="31" spans="1:5" x14ac:dyDescent="0.3">
      <c r="A31">
        <f>vendors!B33</f>
        <v>0</v>
      </c>
      <c r="B31" s="5">
        <f>vendors!C33</f>
        <v>0</v>
      </c>
      <c r="D31">
        <f t="shared" si="3"/>
        <v>0</v>
      </c>
      <c r="E31" t="str">
        <f t="shared" si="1"/>
        <v>X</v>
      </c>
    </row>
    <row r="32" spans="1:5" x14ac:dyDescent="0.3">
      <c r="A32">
        <f>vendors!B34</f>
        <v>0</v>
      </c>
      <c r="B32" s="5">
        <f>vendors!C34</f>
        <v>0</v>
      </c>
      <c r="D32">
        <f t="shared" si="3"/>
        <v>0</v>
      </c>
      <c r="E32" t="str">
        <f t="shared" si="1"/>
        <v>X</v>
      </c>
    </row>
    <row r="33" spans="1:5" x14ac:dyDescent="0.3">
      <c r="A33">
        <f>vendors!B35</f>
        <v>0</v>
      </c>
      <c r="B33" s="5">
        <f>vendors!C35</f>
        <v>0</v>
      </c>
      <c r="D33">
        <f t="shared" si="3"/>
        <v>0</v>
      </c>
      <c r="E33" t="str">
        <f t="shared" si="1"/>
        <v>X</v>
      </c>
    </row>
    <row r="34" spans="1:5" x14ac:dyDescent="0.3">
      <c r="A34">
        <f>vendors!B36</f>
        <v>0</v>
      </c>
      <c r="B34" s="5">
        <f>vendors!C36</f>
        <v>0</v>
      </c>
      <c r="D34">
        <f t="shared" si="3"/>
        <v>0</v>
      </c>
      <c r="E34" t="str">
        <f t="shared" si="1"/>
        <v>X</v>
      </c>
    </row>
    <row r="35" spans="1:5" x14ac:dyDescent="0.3">
      <c r="A35">
        <f>vendors!B37</f>
        <v>0</v>
      </c>
      <c r="B35" s="5">
        <f>vendors!C37</f>
        <v>0</v>
      </c>
      <c r="D35">
        <f t="shared" si="3"/>
        <v>0</v>
      </c>
      <c r="E35" t="str">
        <f t="shared" si="1"/>
        <v>X</v>
      </c>
    </row>
    <row r="36" spans="1:5" x14ac:dyDescent="0.3">
      <c r="A36">
        <f>vendors!B38</f>
        <v>0</v>
      </c>
      <c r="B36" s="5">
        <f>vendors!C38</f>
        <v>0</v>
      </c>
      <c r="D36">
        <f t="shared" si="3"/>
        <v>0</v>
      </c>
      <c r="E36" t="str">
        <f t="shared" si="1"/>
        <v>X</v>
      </c>
    </row>
    <row r="37" spans="1:5" x14ac:dyDescent="0.3">
      <c r="A37">
        <f>vendors!B39</f>
        <v>0</v>
      </c>
      <c r="B37" s="5">
        <f>vendors!C39</f>
        <v>0</v>
      </c>
      <c r="D37">
        <f t="shared" si="3"/>
        <v>0</v>
      </c>
      <c r="E37" t="str">
        <f t="shared" si="1"/>
        <v>X</v>
      </c>
    </row>
    <row r="38" spans="1:5" x14ac:dyDescent="0.3">
      <c r="A38">
        <f>vendors!B40</f>
        <v>0</v>
      </c>
      <c r="B38" s="5">
        <f>vendors!C40</f>
        <v>0</v>
      </c>
      <c r="D38">
        <f t="shared" si="3"/>
        <v>0</v>
      </c>
      <c r="E38" t="str">
        <f t="shared" si="1"/>
        <v>X</v>
      </c>
    </row>
    <row r="39" spans="1:5" x14ac:dyDescent="0.3">
      <c r="A39">
        <f>vendors!B41</f>
        <v>0</v>
      </c>
      <c r="B39" s="5">
        <f>vendors!C41</f>
        <v>0</v>
      </c>
      <c r="D39">
        <f t="shared" si="3"/>
        <v>0</v>
      </c>
      <c r="E39" t="str">
        <f t="shared" si="1"/>
        <v>X</v>
      </c>
    </row>
    <row r="40" spans="1:5" x14ac:dyDescent="0.3">
      <c r="A40">
        <f>vendors!B42</f>
        <v>0</v>
      </c>
      <c r="B40" s="5">
        <f>vendors!C42</f>
        <v>0</v>
      </c>
      <c r="D40">
        <f t="shared" si="3"/>
        <v>0</v>
      </c>
      <c r="E40" t="str">
        <f t="shared" si="1"/>
        <v>X</v>
      </c>
    </row>
    <row r="41" spans="1:5" x14ac:dyDescent="0.3">
      <c r="A41">
        <f>vendors!B43</f>
        <v>0</v>
      </c>
      <c r="B41" s="5">
        <f>vendors!C43</f>
        <v>0</v>
      </c>
      <c r="D41">
        <f t="shared" si="3"/>
        <v>0</v>
      </c>
      <c r="E41" t="str">
        <f t="shared" si="1"/>
        <v>X</v>
      </c>
    </row>
    <row r="42" spans="1:5" x14ac:dyDescent="0.3">
      <c r="A42">
        <f>vendors!B44</f>
        <v>0</v>
      </c>
      <c r="B42" s="5">
        <f>vendors!C44</f>
        <v>0</v>
      </c>
      <c r="D42">
        <f t="shared" si="3"/>
        <v>0</v>
      </c>
      <c r="E42" t="str">
        <f t="shared" si="1"/>
        <v>X</v>
      </c>
    </row>
    <row r="43" spans="1:5" x14ac:dyDescent="0.3">
      <c r="A43">
        <f>vendors!B45</f>
        <v>0</v>
      </c>
      <c r="B43" s="5">
        <f>vendors!C45</f>
        <v>0</v>
      </c>
      <c r="D43">
        <f t="shared" si="3"/>
        <v>0</v>
      </c>
      <c r="E43" t="str">
        <f t="shared" si="1"/>
        <v>X</v>
      </c>
    </row>
    <row r="44" spans="1:5" x14ac:dyDescent="0.3">
      <c r="A44">
        <f>vendors!B46</f>
        <v>0</v>
      </c>
      <c r="B44" s="5">
        <f>vendors!C46</f>
        <v>0</v>
      </c>
      <c r="D44">
        <f t="shared" si="3"/>
        <v>0</v>
      </c>
      <c r="E44" t="str">
        <f t="shared" si="1"/>
        <v>X</v>
      </c>
    </row>
    <row r="45" spans="1:5" x14ac:dyDescent="0.3">
      <c r="A45">
        <f>vendors!B47</f>
        <v>0</v>
      </c>
      <c r="B45" s="5">
        <f>vendors!C47</f>
        <v>0</v>
      </c>
      <c r="D45">
        <f t="shared" si="3"/>
        <v>0</v>
      </c>
      <c r="E45" t="str">
        <f t="shared" si="1"/>
        <v>X</v>
      </c>
    </row>
    <row r="46" spans="1:5" x14ac:dyDescent="0.3">
      <c r="A46">
        <f>vendors!B48</f>
        <v>0</v>
      </c>
      <c r="B46" s="5">
        <f>vendors!C48</f>
        <v>0</v>
      </c>
      <c r="D46">
        <f t="shared" si="3"/>
        <v>0</v>
      </c>
      <c r="E46" t="str">
        <f t="shared" si="1"/>
        <v>X</v>
      </c>
    </row>
    <row r="47" spans="1:5" x14ac:dyDescent="0.3">
      <c r="A47">
        <f>vendors!B49</f>
        <v>0</v>
      </c>
      <c r="B47" s="5">
        <f>vendors!C49</f>
        <v>0</v>
      </c>
      <c r="D47">
        <f t="shared" si="3"/>
        <v>0</v>
      </c>
      <c r="E47" t="str">
        <f t="shared" si="1"/>
        <v>X</v>
      </c>
    </row>
    <row r="48" spans="1:5" x14ac:dyDescent="0.3">
      <c r="A48">
        <f>vendors!B50</f>
        <v>0</v>
      </c>
      <c r="B48" s="5">
        <f>vendors!C50</f>
        <v>0</v>
      </c>
      <c r="D48">
        <f t="shared" si="3"/>
        <v>0</v>
      </c>
      <c r="E48" t="str">
        <f t="shared" si="1"/>
        <v>X</v>
      </c>
    </row>
    <row r="49" spans="1:5" x14ac:dyDescent="0.3">
      <c r="A49">
        <f>vendors!B51</f>
        <v>0</v>
      </c>
      <c r="B49" s="5">
        <f>vendors!C51</f>
        <v>0</v>
      </c>
      <c r="D49">
        <f t="shared" si="3"/>
        <v>0</v>
      </c>
      <c r="E49" t="str">
        <f t="shared" si="1"/>
        <v>X</v>
      </c>
    </row>
    <row r="50" spans="1:5" x14ac:dyDescent="0.3">
      <c r="A50">
        <f>vendors!B52</f>
        <v>0</v>
      </c>
      <c r="B50" s="5">
        <f>vendors!C52</f>
        <v>0</v>
      </c>
      <c r="D50">
        <f t="shared" si="3"/>
        <v>0</v>
      </c>
      <c r="E50" t="str">
        <f t="shared" si="1"/>
        <v>X</v>
      </c>
    </row>
    <row r="51" spans="1:5" x14ac:dyDescent="0.3">
      <c r="A51">
        <f>vendors!B53</f>
        <v>0</v>
      </c>
      <c r="B51" s="5">
        <f>vendors!C53</f>
        <v>0</v>
      </c>
      <c r="D51">
        <f t="shared" si="3"/>
        <v>0</v>
      </c>
      <c r="E51" t="str">
        <f t="shared" si="1"/>
        <v>X</v>
      </c>
    </row>
    <row r="52" spans="1:5" x14ac:dyDescent="0.3">
      <c r="A52">
        <f>vendors!B54</f>
        <v>0</v>
      </c>
      <c r="B52" s="5">
        <f>vendors!C54</f>
        <v>0</v>
      </c>
      <c r="D52">
        <f t="shared" si="3"/>
        <v>0</v>
      </c>
      <c r="E52" t="str">
        <f t="shared" si="1"/>
        <v>X</v>
      </c>
    </row>
    <row r="53" spans="1:5" x14ac:dyDescent="0.3">
      <c r="A53">
        <f>vendors!B55</f>
        <v>0</v>
      </c>
      <c r="B53" s="5">
        <f>vendors!C55</f>
        <v>0</v>
      </c>
      <c r="D53">
        <f t="shared" si="3"/>
        <v>0</v>
      </c>
      <c r="E53" t="str">
        <f t="shared" si="1"/>
        <v>X</v>
      </c>
    </row>
    <row r="54" spans="1:5" x14ac:dyDescent="0.3">
      <c r="A54">
        <f>vendors!B56</f>
        <v>0</v>
      </c>
      <c r="B54" s="5">
        <f>vendors!C56</f>
        <v>0</v>
      </c>
      <c r="D54">
        <f t="shared" si="3"/>
        <v>0</v>
      </c>
      <c r="E54" t="str">
        <f t="shared" si="1"/>
        <v>X</v>
      </c>
    </row>
    <row r="55" spans="1:5" x14ac:dyDescent="0.3">
      <c r="A55">
        <f>vendors!B57</f>
        <v>0</v>
      </c>
      <c r="B55" s="5">
        <f>vendors!C57</f>
        <v>0</v>
      </c>
      <c r="D55">
        <f t="shared" si="3"/>
        <v>0</v>
      </c>
      <c r="E55" t="str">
        <f t="shared" si="1"/>
        <v>X</v>
      </c>
    </row>
    <row r="56" spans="1:5" x14ac:dyDescent="0.3">
      <c r="A56">
        <f>vendors!B58</f>
        <v>0</v>
      </c>
      <c r="B56" s="5">
        <f>vendors!C58</f>
        <v>0</v>
      </c>
      <c r="D56">
        <f t="shared" si="3"/>
        <v>0</v>
      </c>
      <c r="E56" t="str">
        <f t="shared" si="1"/>
        <v>X</v>
      </c>
    </row>
    <row r="57" spans="1:5" x14ac:dyDescent="0.3">
      <c r="A57">
        <f>vendors!B59</f>
        <v>0</v>
      </c>
      <c r="B57" s="5">
        <f>vendors!C59</f>
        <v>0</v>
      </c>
      <c r="D57">
        <f t="shared" si="3"/>
        <v>0</v>
      </c>
      <c r="E57" t="str">
        <f t="shared" si="1"/>
        <v>X</v>
      </c>
    </row>
    <row r="58" spans="1:5" x14ac:dyDescent="0.3">
      <c r="A58">
        <f>vendors!B60</f>
        <v>0</v>
      </c>
      <c r="B58" s="5">
        <f>vendors!C60</f>
        <v>0</v>
      </c>
      <c r="D58">
        <f t="shared" si="3"/>
        <v>0</v>
      </c>
      <c r="E58" t="str">
        <f t="shared" si="1"/>
        <v>X</v>
      </c>
    </row>
    <row r="59" spans="1:5" x14ac:dyDescent="0.3">
      <c r="A59">
        <f>vendors!B61</f>
        <v>0</v>
      </c>
      <c r="B59" s="5">
        <f>vendors!C61</f>
        <v>0</v>
      </c>
      <c r="D59">
        <f t="shared" si="3"/>
        <v>0</v>
      </c>
      <c r="E59" t="str">
        <f t="shared" si="1"/>
        <v>X</v>
      </c>
    </row>
    <row r="60" spans="1:5" x14ac:dyDescent="0.3">
      <c r="A60">
        <f>vendors!B62</f>
        <v>0</v>
      </c>
      <c r="B60" s="5">
        <f>vendors!C62</f>
        <v>0</v>
      </c>
      <c r="D60">
        <f t="shared" si="3"/>
        <v>0</v>
      </c>
      <c r="E60" t="str">
        <f t="shared" si="1"/>
        <v>X</v>
      </c>
    </row>
    <row r="61" spans="1:5" x14ac:dyDescent="0.3">
      <c r="A61">
        <f>vendors!B63</f>
        <v>0</v>
      </c>
      <c r="B61" s="5">
        <f>vendors!C63</f>
        <v>0</v>
      </c>
      <c r="D61">
        <f t="shared" si="3"/>
        <v>0</v>
      </c>
      <c r="E61" t="str">
        <f t="shared" si="1"/>
        <v>X</v>
      </c>
    </row>
    <row r="62" spans="1:5" x14ac:dyDescent="0.3">
      <c r="A62">
        <f>vendors!B64</f>
        <v>0</v>
      </c>
      <c r="B62" s="5">
        <f>vendors!C64</f>
        <v>0</v>
      </c>
      <c r="D62">
        <f t="shared" si="3"/>
        <v>0</v>
      </c>
      <c r="E62" t="str">
        <f t="shared" si="1"/>
        <v>X</v>
      </c>
    </row>
    <row r="63" spans="1:5" x14ac:dyDescent="0.3">
      <c r="A63">
        <f>vendors!B65</f>
        <v>0</v>
      </c>
      <c r="B63" s="5">
        <f>vendors!C65</f>
        <v>0</v>
      </c>
      <c r="D63">
        <f t="shared" si="3"/>
        <v>0</v>
      </c>
      <c r="E63" t="str">
        <f t="shared" si="1"/>
        <v>X</v>
      </c>
    </row>
    <row r="64" spans="1:5" x14ac:dyDescent="0.3">
      <c r="A64">
        <f>vendors!B66</f>
        <v>0</v>
      </c>
      <c r="B64" s="5">
        <f>vendors!C66</f>
        <v>0</v>
      </c>
      <c r="D64">
        <f t="shared" si="3"/>
        <v>0</v>
      </c>
      <c r="E64" t="str">
        <f t="shared" si="1"/>
        <v>X</v>
      </c>
    </row>
    <row r="65" spans="1:5" x14ac:dyDescent="0.3">
      <c r="A65">
        <f>vendors!B67</f>
        <v>0</v>
      </c>
      <c r="B65" s="5">
        <f>vendors!C67</f>
        <v>0</v>
      </c>
      <c r="D65">
        <f t="shared" si="3"/>
        <v>0</v>
      </c>
      <c r="E65" t="str">
        <f t="shared" si="1"/>
        <v>X</v>
      </c>
    </row>
    <row r="66" spans="1:5" x14ac:dyDescent="0.3">
      <c r="A66">
        <f>vendors!B68</f>
        <v>0</v>
      </c>
      <c r="B66" s="5">
        <f>vendors!C68</f>
        <v>0</v>
      </c>
      <c r="D66">
        <f t="shared" si="3"/>
        <v>0</v>
      </c>
      <c r="E66" t="str">
        <f t="shared" si="1"/>
        <v>X</v>
      </c>
    </row>
    <row r="67" spans="1:5" x14ac:dyDescent="0.3">
      <c r="A67">
        <f>vendors!B69</f>
        <v>0</v>
      </c>
      <c r="B67" s="5">
        <f>vendors!C69</f>
        <v>0</v>
      </c>
      <c r="D67">
        <f t="shared" ref="D67:D130" si="4">C67*B67</f>
        <v>0</v>
      </c>
      <c r="E67" t="str">
        <f t="shared" ref="E67:E130" si="5">IF(C67&lt;500, "X", "")</f>
        <v>X</v>
      </c>
    </row>
    <row r="68" spans="1:5" x14ac:dyDescent="0.3">
      <c r="A68">
        <f>vendors!B70</f>
        <v>0</v>
      </c>
      <c r="B68" s="5">
        <f>vendors!C70</f>
        <v>0</v>
      </c>
      <c r="D68">
        <f t="shared" si="4"/>
        <v>0</v>
      </c>
      <c r="E68" t="str">
        <f t="shared" si="5"/>
        <v>X</v>
      </c>
    </row>
    <row r="69" spans="1:5" x14ac:dyDescent="0.3">
      <c r="A69">
        <f>vendors!B71</f>
        <v>0</v>
      </c>
      <c r="B69" s="5">
        <f>vendors!C71</f>
        <v>0</v>
      </c>
      <c r="D69">
        <f t="shared" si="4"/>
        <v>0</v>
      </c>
      <c r="E69" t="str">
        <f t="shared" si="5"/>
        <v>X</v>
      </c>
    </row>
    <row r="70" spans="1:5" x14ac:dyDescent="0.3">
      <c r="A70">
        <f>vendors!B72</f>
        <v>0</v>
      </c>
      <c r="B70" s="5">
        <f>vendors!C72</f>
        <v>0</v>
      </c>
      <c r="D70">
        <f t="shared" si="4"/>
        <v>0</v>
      </c>
      <c r="E70" t="str">
        <f t="shared" si="5"/>
        <v>X</v>
      </c>
    </row>
    <row r="71" spans="1:5" x14ac:dyDescent="0.3">
      <c r="A71">
        <f>vendors!B73</f>
        <v>0</v>
      </c>
      <c r="B71" s="5">
        <f>vendors!C73</f>
        <v>0</v>
      </c>
      <c r="D71">
        <f t="shared" si="4"/>
        <v>0</v>
      </c>
      <c r="E71" t="str">
        <f t="shared" si="5"/>
        <v>X</v>
      </c>
    </row>
    <row r="72" spans="1:5" x14ac:dyDescent="0.3">
      <c r="A72">
        <f>vendors!B74</f>
        <v>0</v>
      </c>
      <c r="B72" s="5">
        <f>vendors!C74</f>
        <v>0</v>
      </c>
      <c r="D72">
        <f t="shared" si="4"/>
        <v>0</v>
      </c>
      <c r="E72" t="str">
        <f t="shared" si="5"/>
        <v>X</v>
      </c>
    </row>
    <row r="73" spans="1:5" x14ac:dyDescent="0.3">
      <c r="A73">
        <f>vendors!B75</f>
        <v>0</v>
      </c>
      <c r="B73" s="5">
        <f>vendors!C75</f>
        <v>0</v>
      </c>
      <c r="D73">
        <f t="shared" si="4"/>
        <v>0</v>
      </c>
      <c r="E73" t="str">
        <f t="shared" si="5"/>
        <v>X</v>
      </c>
    </row>
    <row r="74" spans="1:5" x14ac:dyDescent="0.3">
      <c r="A74">
        <f>vendors!B76</f>
        <v>0</v>
      </c>
      <c r="B74" s="5">
        <f>vendors!C76</f>
        <v>0</v>
      </c>
      <c r="D74">
        <f t="shared" si="4"/>
        <v>0</v>
      </c>
      <c r="E74" t="str">
        <f t="shared" si="5"/>
        <v>X</v>
      </c>
    </row>
    <row r="75" spans="1:5" x14ac:dyDescent="0.3">
      <c r="A75">
        <f>vendors!B77</f>
        <v>0</v>
      </c>
      <c r="B75" s="5">
        <f>vendors!C77</f>
        <v>0</v>
      </c>
      <c r="D75">
        <f t="shared" si="4"/>
        <v>0</v>
      </c>
      <c r="E75" t="str">
        <f t="shared" si="5"/>
        <v>X</v>
      </c>
    </row>
    <row r="76" spans="1:5" x14ac:dyDescent="0.3">
      <c r="A76">
        <f>vendors!B78</f>
        <v>0</v>
      </c>
      <c r="B76" s="5">
        <f>vendors!C78</f>
        <v>0</v>
      </c>
      <c r="D76">
        <f t="shared" si="4"/>
        <v>0</v>
      </c>
      <c r="E76" t="str">
        <f t="shared" si="5"/>
        <v>X</v>
      </c>
    </row>
    <row r="77" spans="1:5" x14ac:dyDescent="0.3">
      <c r="A77">
        <f>vendors!B79</f>
        <v>0</v>
      </c>
      <c r="B77" s="5">
        <f>vendors!C79</f>
        <v>0</v>
      </c>
      <c r="D77">
        <f t="shared" si="4"/>
        <v>0</v>
      </c>
      <c r="E77" t="str">
        <f t="shared" si="5"/>
        <v>X</v>
      </c>
    </row>
    <row r="78" spans="1:5" x14ac:dyDescent="0.3">
      <c r="A78">
        <f>vendors!B80</f>
        <v>0</v>
      </c>
      <c r="B78" s="5">
        <f>vendors!C80</f>
        <v>0</v>
      </c>
      <c r="D78">
        <f t="shared" si="4"/>
        <v>0</v>
      </c>
      <c r="E78" t="str">
        <f t="shared" si="5"/>
        <v>X</v>
      </c>
    </row>
    <row r="79" spans="1:5" x14ac:dyDescent="0.3">
      <c r="A79">
        <f>vendors!B81</f>
        <v>0</v>
      </c>
      <c r="B79" s="5">
        <f>vendors!C81</f>
        <v>0</v>
      </c>
      <c r="D79">
        <f t="shared" si="4"/>
        <v>0</v>
      </c>
      <c r="E79" t="str">
        <f t="shared" si="5"/>
        <v>X</v>
      </c>
    </row>
    <row r="80" spans="1:5" x14ac:dyDescent="0.3">
      <c r="A80">
        <f>vendors!B82</f>
        <v>0</v>
      </c>
      <c r="B80" s="5">
        <f>vendors!C82</f>
        <v>0</v>
      </c>
      <c r="D80">
        <f t="shared" si="4"/>
        <v>0</v>
      </c>
      <c r="E80" t="str">
        <f t="shared" si="5"/>
        <v>X</v>
      </c>
    </row>
    <row r="81" spans="1:5" x14ac:dyDescent="0.3">
      <c r="A81">
        <f>vendors!B83</f>
        <v>0</v>
      </c>
      <c r="B81" s="5">
        <f>vendors!C83</f>
        <v>0</v>
      </c>
      <c r="D81">
        <f t="shared" si="4"/>
        <v>0</v>
      </c>
      <c r="E81" t="str">
        <f t="shared" si="5"/>
        <v>X</v>
      </c>
    </row>
    <row r="82" spans="1:5" x14ac:dyDescent="0.3">
      <c r="A82">
        <f>vendors!B84</f>
        <v>0</v>
      </c>
      <c r="B82" s="5">
        <f>vendors!C84</f>
        <v>0</v>
      </c>
      <c r="D82">
        <f t="shared" si="4"/>
        <v>0</v>
      </c>
      <c r="E82" t="str">
        <f t="shared" si="5"/>
        <v>X</v>
      </c>
    </row>
    <row r="83" spans="1:5" x14ac:dyDescent="0.3">
      <c r="A83">
        <f>vendors!B85</f>
        <v>0</v>
      </c>
      <c r="B83" s="5">
        <f>vendors!C85</f>
        <v>0</v>
      </c>
      <c r="D83">
        <f t="shared" si="4"/>
        <v>0</v>
      </c>
      <c r="E83" t="str">
        <f t="shared" si="5"/>
        <v>X</v>
      </c>
    </row>
    <row r="84" spans="1:5" x14ac:dyDescent="0.3">
      <c r="A84">
        <f>vendors!B86</f>
        <v>0</v>
      </c>
      <c r="B84" s="5">
        <f>vendors!C86</f>
        <v>0</v>
      </c>
      <c r="D84">
        <f t="shared" si="4"/>
        <v>0</v>
      </c>
      <c r="E84" t="str">
        <f t="shared" si="5"/>
        <v>X</v>
      </c>
    </row>
    <row r="85" spans="1:5" x14ac:dyDescent="0.3">
      <c r="A85">
        <f>vendors!B87</f>
        <v>0</v>
      </c>
      <c r="B85" s="5">
        <f>vendors!C87</f>
        <v>0</v>
      </c>
      <c r="D85">
        <f t="shared" si="4"/>
        <v>0</v>
      </c>
      <c r="E85" t="str">
        <f t="shared" si="5"/>
        <v>X</v>
      </c>
    </row>
    <row r="86" spans="1:5" x14ac:dyDescent="0.3">
      <c r="A86">
        <f>vendors!B88</f>
        <v>0</v>
      </c>
      <c r="B86" s="5">
        <f>vendors!C88</f>
        <v>0</v>
      </c>
      <c r="D86">
        <f t="shared" si="4"/>
        <v>0</v>
      </c>
      <c r="E86" t="str">
        <f t="shared" si="5"/>
        <v>X</v>
      </c>
    </row>
    <row r="87" spans="1:5" x14ac:dyDescent="0.3">
      <c r="A87">
        <f>vendors!B89</f>
        <v>0</v>
      </c>
      <c r="B87" s="5">
        <f>vendors!C89</f>
        <v>0</v>
      </c>
      <c r="D87">
        <f t="shared" si="4"/>
        <v>0</v>
      </c>
      <c r="E87" t="str">
        <f t="shared" si="5"/>
        <v>X</v>
      </c>
    </row>
    <row r="88" spans="1:5" x14ac:dyDescent="0.3">
      <c r="A88">
        <f>vendors!B90</f>
        <v>0</v>
      </c>
      <c r="B88" s="5">
        <f>vendors!C90</f>
        <v>0</v>
      </c>
      <c r="D88">
        <f t="shared" si="4"/>
        <v>0</v>
      </c>
      <c r="E88" t="str">
        <f t="shared" si="5"/>
        <v>X</v>
      </c>
    </row>
    <row r="89" spans="1:5" x14ac:dyDescent="0.3">
      <c r="A89">
        <f>vendors!B91</f>
        <v>0</v>
      </c>
      <c r="B89" s="5">
        <f>vendors!C91</f>
        <v>0</v>
      </c>
      <c r="D89">
        <f t="shared" si="4"/>
        <v>0</v>
      </c>
      <c r="E89" t="str">
        <f t="shared" si="5"/>
        <v>X</v>
      </c>
    </row>
    <row r="90" spans="1:5" x14ac:dyDescent="0.3">
      <c r="A90">
        <f>vendors!B92</f>
        <v>0</v>
      </c>
      <c r="B90" s="5">
        <f>vendors!C92</f>
        <v>0</v>
      </c>
      <c r="D90">
        <f t="shared" si="4"/>
        <v>0</v>
      </c>
      <c r="E90" t="str">
        <f t="shared" si="5"/>
        <v>X</v>
      </c>
    </row>
    <row r="91" spans="1:5" x14ac:dyDescent="0.3">
      <c r="A91">
        <f>vendors!B93</f>
        <v>0</v>
      </c>
      <c r="B91" s="5">
        <f>vendors!C93</f>
        <v>0</v>
      </c>
      <c r="D91">
        <f t="shared" si="4"/>
        <v>0</v>
      </c>
      <c r="E91" t="str">
        <f t="shared" si="5"/>
        <v>X</v>
      </c>
    </row>
    <row r="92" spans="1:5" x14ac:dyDescent="0.3">
      <c r="A92">
        <f>vendors!B94</f>
        <v>0</v>
      </c>
      <c r="B92" s="5">
        <f>vendors!C94</f>
        <v>0</v>
      </c>
      <c r="D92">
        <f t="shared" si="4"/>
        <v>0</v>
      </c>
      <c r="E92" t="str">
        <f t="shared" si="5"/>
        <v>X</v>
      </c>
    </row>
    <row r="93" spans="1:5" x14ac:dyDescent="0.3">
      <c r="A93">
        <f>vendors!B95</f>
        <v>0</v>
      </c>
      <c r="B93" s="5">
        <f>vendors!C95</f>
        <v>0</v>
      </c>
      <c r="D93">
        <f t="shared" si="4"/>
        <v>0</v>
      </c>
      <c r="E93" t="str">
        <f t="shared" si="5"/>
        <v>X</v>
      </c>
    </row>
    <row r="94" spans="1:5" x14ac:dyDescent="0.3">
      <c r="A94">
        <f>vendors!B96</f>
        <v>0</v>
      </c>
      <c r="B94" s="5">
        <f>vendors!C96</f>
        <v>0</v>
      </c>
      <c r="D94">
        <f t="shared" si="4"/>
        <v>0</v>
      </c>
      <c r="E94" t="str">
        <f t="shared" si="5"/>
        <v>X</v>
      </c>
    </row>
    <row r="95" spans="1:5" x14ac:dyDescent="0.3">
      <c r="A95">
        <f>vendors!B97</f>
        <v>0</v>
      </c>
      <c r="B95" s="5">
        <f>vendors!C97</f>
        <v>0</v>
      </c>
      <c r="D95">
        <f t="shared" si="4"/>
        <v>0</v>
      </c>
      <c r="E95" t="str">
        <f t="shared" si="5"/>
        <v>X</v>
      </c>
    </row>
    <row r="96" spans="1:5" x14ac:dyDescent="0.3">
      <c r="A96">
        <f>vendors!B98</f>
        <v>0</v>
      </c>
      <c r="B96" s="5">
        <f>vendors!C98</f>
        <v>0</v>
      </c>
      <c r="D96">
        <f t="shared" si="4"/>
        <v>0</v>
      </c>
      <c r="E96" t="str">
        <f t="shared" si="5"/>
        <v>X</v>
      </c>
    </row>
    <row r="97" spans="1:5" x14ac:dyDescent="0.3">
      <c r="A97">
        <f>vendors!B99</f>
        <v>0</v>
      </c>
      <c r="B97" s="5">
        <f>vendors!C99</f>
        <v>0</v>
      </c>
      <c r="D97">
        <f t="shared" si="4"/>
        <v>0</v>
      </c>
      <c r="E97" t="str">
        <f t="shared" si="5"/>
        <v>X</v>
      </c>
    </row>
    <row r="98" spans="1:5" x14ac:dyDescent="0.3">
      <c r="A98">
        <f>vendors!B100</f>
        <v>0</v>
      </c>
      <c r="B98" s="5">
        <f>vendors!C100</f>
        <v>0</v>
      </c>
      <c r="D98">
        <f t="shared" si="4"/>
        <v>0</v>
      </c>
      <c r="E98" t="str">
        <f t="shared" si="5"/>
        <v>X</v>
      </c>
    </row>
    <row r="99" spans="1:5" x14ac:dyDescent="0.3">
      <c r="A99">
        <f>vendors!B101</f>
        <v>0</v>
      </c>
      <c r="B99" s="5">
        <f>vendors!C101</f>
        <v>0</v>
      </c>
      <c r="D99">
        <f t="shared" si="4"/>
        <v>0</v>
      </c>
      <c r="E99" t="str">
        <f t="shared" si="5"/>
        <v>X</v>
      </c>
    </row>
    <row r="100" spans="1:5" x14ac:dyDescent="0.3">
      <c r="A100">
        <f>vendors!B102</f>
        <v>0</v>
      </c>
      <c r="B100" s="5">
        <f>vendors!C102</f>
        <v>0</v>
      </c>
      <c r="D100">
        <f t="shared" si="4"/>
        <v>0</v>
      </c>
      <c r="E100" t="str">
        <f t="shared" si="5"/>
        <v>X</v>
      </c>
    </row>
    <row r="101" spans="1:5" x14ac:dyDescent="0.3">
      <c r="A101">
        <f>vendors!B103</f>
        <v>0</v>
      </c>
      <c r="B101" s="5">
        <f>vendors!C103</f>
        <v>0</v>
      </c>
      <c r="D101">
        <f t="shared" si="4"/>
        <v>0</v>
      </c>
      <c r="E101" t="str">
        <f t="shared" si="5"/>
        <v>X</v>
      </c>
    </row>
    <row r="102" spans="1:5" x14ac:dyDescent="0.3">
      <c r="A102">
        <f>vendors!B104</f>
        <v>0</v>
      </c>
      <c r="B102" s="5">
        <f>vendors!C104</f>
        <v>0</v>
      </c>
      <c r="D102">
        <f t="shared" si="4"/>
        <v>0</v>
      </c>
      <c r="E102" t="str">
        <f t="shared" si="5"/>
        <v>X</v>
      </c>
    </row>
    <row r="103" spans="1:5" x14ac:dyDescent="0.3">
      <c r="A103">
        <f>vendors!B105</f>
        <v>0</v>
      </c>
      <c r="B103" s="5">
        <f>vendors!C105</f>
        <v>0</v>
      </c>
      <c r="D103">
        <f t="shared" si="4"/>
        <v>0</v>
      </c>
      <c r="E103" t="str">
        <f t="shared" si="5"/>
        <v>X</v>
      </c>
    </row>
    <row r="104" spans="1:5" x14ac:dyDescent="0.3">
      <c r="A104">
        <f>vendors!B106</f>
        <v>0</v>
      </c>
      <c r="B104" s="5">
        <f>vendors!C106</f>
        <v>0</v>
      </c>
      <c r="D104">
        <f t="shared" si="4"/>
        <v>0</v>
      </c>
      <c r="E104" t="str">
        <f t="shared" si="5"/>
        <v>X</v>
      </c>
    </row>
    <row r="105" spans="1:5" x14ac:dyDescent="0.3">
      <c r="A105">
        <f>vendors!B107</f>
        <v>0</v>
      </c>
      <c r="B105" s="5">
        <f>vendors!C107</f>
        <v>0</v>
      </c>
      <c r="D105">
        <f t="shared" si="4"/>
        <v>0</v>
      </c>
      <c r="E105" t="str">
        <f t="shared" si="5"/>
        <v>X</v>
      </c>
    </row>
    <row r="106" spans="1:5" x14ac:dyDescent="0.3">
      <c r="A106">
        <f>vendors!B108</f>
        <v>0</v>
      </c>
      <c r="B106" s="5">
        <f>vendors!C108</f>
        <v>0</v>
      </c>
      <c r="D106">
        <f t="shared" si="4"/>
        <v>0</v>
      </c>
      <c r="E106" t="str">
        <f t="shared" si="5"/>
        <v>X</v>
      </c>
    </row>
    <row r="107" spans="1:5" x14ac:dyDescent="0.3">
      <c r="A107">
        <f>vendors!B109</f>
        <v>0</v>
      </c>
      <c r="B107" s="5">
        <f>vendors!C109</f>
        <v>0</v>
      </c>
      <c r="D107">
        <f t="shared" si="4"/>
        <v>0</v>
      </c>
      <c r="E107" t="str">
        <f t="shared" si="5"/>
        <v>X</v>
      </c>
    </row>
    <row r="108" spans="1:5" x14ac:dyDescent="0.3">
      <c r="A108">
        <f>vendors!B110</f>
        <v>0</v>
      </c>
      <c r="B108" s="5">
        <f>vendors!C110</f>
        <v>0</v>
      </c>
      <c r="D108">
        <f t="shared" si="4"/>
        <v>0</v>
      </c>
      <c r="E108" t="str">
        <f t="shared" si="5"/>
        <v>X</v>
      </c>
    </row>
    <row r="109" spans="1:5" x14ac:dyDescent="0.3">
      <c r="A109">
        <f>vendors!B111</f>
        <v>0</v>
      </c>
      <c r="B109" s="5">
        <f>vendors!C111</f>
        <v>0</v>
      </c>
      <c r="D109">
        <f t="shared" si="4"/>
        <v>0</v>
      </c>
      <c r="E109" t="str">
        <f t="shared" si="5"/>
        <v>X</v>
      </c>
    </row>
    <row r="110" spans="1:5" x14ac:dyDescent="0.3">
      <c r="A110">
        <f>vendors!B112</f>
        <v>0</v>
      </c>
      <c r="B110" s="5">
        <f>vendors!C112</f>
        <v>0</v>
      </c>
      <c r="D110">
        <f t="shared" si="4"/>
        <v>0</v>
      </c>
      <c r="E110" t="str">
        <f t="shared" si="5"/>
        <v>X</v>
      </c>
    </row>
    <row r="111" spans="1:5" x14ac:dyDescent="0.3">
      <c r="A111">
        <f>vendors!B113</f>
        <v>0</v>
      </c>
      <c r="B111" s="5">
        <f>vendors!C113</f>
        <v>0</v>
      </c>
      <c r="D111">
        <f t="shared" si="4"/>
        <v>0</v>
      </c>
      <c r="E111" t="str">
        <f t="shared" si="5"/>
        <v>X</v>
      </c>
    </row>
    <row r="112" spans="1:5" x14ac:dyDescent="0.3">
      <c r="A112">
        <f>vendors!B114</f>
        <v>0</v>
      </c>
      <c r="B112" s="5">
        <f>vendors!C114</f>
        <v>0</v>
      </c>
      <c r="D112">
        <f t="shared" si="4"/>
        <v>0</v>
      </c>
      <c r="E112" t="str">
        <f t="shared" si="5"/>
        <v>X</v>
      </c>
    </row>
    <row r="113" spans="1:5" x14ac:dyDescent="0.3">
      <c r="A113">
        <f>vendors!B115</f>
        <v>0</v>
      </c>
      <c r="B113" s="5">
        <f>vendors!C115</f>
        <v>0</v>
      </c>
      <c r="D113">
        <f t="shared" si="4"/>
        <v>0</v>
      </c>
      <c r="E113" t="str">
        <f t="shared" si="5"/>
        <v>X</v>
      </c>
    </row>
    <row r="114" spans="1:5" x14ac:dyDescent="0.3">
      <c r="A114">
        <f>vendors!B116</f>
        <v>0</v>
      </c>
      <c r="B114" s="5">
        <f>vendors!C116</f>
        <v>0</v>
      </c>
      <c r="D114">
        <f t="shared" si="4"/>
        <v>0</v>
      </c>
      <c r="E114" t="str">
        <f t="shared" si="5"/>
        <v>X</v>
      </c>
    </row>
    <row r="115" spans="1:5" x14ac:dyDescent="0.3">
      <c r="A115">
        <f>vendors!B117</f>
        <v>0</v>
      </c>
      <c r="B115" s="5">
        <f>vendors!C117</f>
        <v>0</v>
      </c>
      <c r="D115">
        <f t="shared" si="4"/>
        <v>0</v>
      </c>
      <c r="E115" t="str">
        <f t="shared" si="5"/>
        <v>X</v>
      </c>
    </row>
    <row r="116" spans="1:5" x14ac:dyDescent="0.3">
      <c r="A116">
        <f>vendors!B118</f>
        <v>0</v>
      </c>
      <c r="B116" s="5">
        <f>vendors!C118</f>
        <v>0</v>
      </c>
      <c r="D116">
        <f t="shared" si="4"/>
        <v>0</v>
      </c>
      <c r="E116" t="str">
        <f t="shared" si="5"/>
        <v>X</v>
      </c>
    </row>
    <row r="117" spans="1:5" x14ac:dyDescent="0.3">
      <c r="A117">
        <f>vendors!B119</f>
        <v>0</v>
      </c>
      <c r="B117" s="5">
        <f>vendors!C119</f>
        <v>0</v>
      </c>
      <c r="D117">
        <f t="shared" si="4"/>
        <v>0</v>
      </c>
      <c r="E117" t="str">
        <f t="shared" si="5"/>
        <v>X</v>
      </c>
    </row>
    <row r="118" spans="1:5" x14ac:dyDescent="0.3">
      <c r="A118">
        <f>vendors!B120</f>
        <v>0</v>
      </c>
      <c r="B118" s="5">
        <f>vendors!C120</f>
        <v>0</v>
      </c>
      <c r="D118">
        <f t="shared" si="4"/>
        <v>0</v>
      </c>
      <c r="E118" t="str">
        <f t="shared" si="5"/>
        <v>X</v>
      </c>
    </row>
    <row r="119" spans="1:5" x14ac:dyDescent="0.3">
      <c r="A119">
        <f>vendors!B121</f>
        <v>0</v>
      </c>
      <c r="B119" s="5">
        <f>vendors!C121</f>
        <v>0</v>
      </c>
      <c r="D119">
        <f t="shared" si="4"/>
        <v>0</v>
      </c>
      <c r="E119" t="str">
        <f t="shared" si="5"/>
        <v>X</v>
      </c>
    </row>
    <row r="120" spans="1:5" x14ac:dyDescent="0.3">
      <c r="A120">
        <f>vendors!B122</f>
        <v>0</v>
      </c>
      <c r="B120" s="5">
        <f>vendors!C122</f>
        <v>0</v>
      </c>
      <c r="D120">
        <f t="shared" si="4"/>
        <v>0</v>
      </c>
      <c r="E120" t="str">
        <f t="shared" si="5"/>
        <v>X</v>
      </c>
    </row>
    <row r="121" spans="1:5" x14ac:dyDescent="0.3">
      <c r="A121">
        <f>vendors!B123</f>
        <v>0</v>
      </c>
      <c r="B121" s="5">
        <f>vendors!C123</f>
        <v>0</v>
      </c>
      <c r="D121">
        <f t="shared" si="4"/>
        <v>0</v>
      </c>
      <c r="E121" t="str">
        <f t="shared" si="5"/>
        <v>X</v>
      </c>
    </row>
    <row r="122" spans="1:5" x14ac:dyDescent="0.3">
      <c r="A122">
        <f>vendors!B124</f>
        <v>0</v>
      </c>
      <c r="B122" s="5">
        <f>vendors!C124</f>
        <v>0</v>
      </c>
      <c r="D122">
        <f t="shared" si="4"/>
        <v>0</v>
      </c>
      <c r="E122" t="str">
        <f t="shared" si="5"/>
        <v>X</v>
      </c>
    </row>
    <row r="123" spans="1:5" x14ac:dyDescent="0.3">
      <c r="A123">
        <f>vendors!B125</f>
        <v>0</v>
      </c>
      <c r="B123" s="5">
        <f>vendors!C125</f>
        <v>0</v>
      </c>
      <c r="D123">
        <f t="shared" si="4"/>
        <v>0</v>
      </c>
      <c r="E123" t="str">
        <f t="shared" si="5"/>
        <v>X</v>
      </c>
    </row>
    <row r="124" spans="1:5" x14ac:dyDescent="0.3">
      <c r="A124">
        <f>vendors!B126</f>
        <v>0</v>
      </c>
      <c r="B124" s="5">
        <f>vendors!C126</f>
        <v>0</v>
      </c>
      <c r="D124">
        <f t="shared" si="4"/>
        <v>0</v>
      </c>
      <c r="E124" t="str">
        <f t="shared" si="5"/>
        <v>X</v>
      </c>
    </row>
    <row r="125" spans="1:5" x14ac:dyDescent="0.3">
      <c r="A125">
        <f>vendors!B127</f>
        <v>0</v>
      </c>
      <c r="B125" s="5">
        <f>vendors!C127</f>
        <v>0</v>
      </c>
      <c r="D125">
        <f t="shared" si="4"/>
        <v>0</v>
      </c>
      <c r="E125" t="str">
        <f t="shared" si="5"/>
        <v>X</v>
      </c>
    </row>
    <row r="126" spans="1:5" x14ac:dyDescent="0.3">
      <c r="A126">
        <f>vendors!B128</f>
        <v>0</v>
      </c>
      <c r="B126" s="5">
        <f>vendors!C128</f>
        <v>0</v>
      </c>
      <c r="D126">
        <f t="shared" si="4"/>
        <v>0</v>
      </c>
      <c r="E126" t="str">
        <f t="shared" si="5"/>
        <v>X</v>
      </c>
    </row>
    <row r="127" spans="1:5" x14ac:dyDescent="0.3">
      <c r="A127">
        <f>vendors!B129</f>
        <v>0</v>
      </c>
      <c r="B127" s="5">
        <f>vendors!C129</f>
        <v>0</v>
      </c>
      <c r="D127">
        <f t="shared" si="4"/>
        <v>0</v>
      </c>
      <c r="E127" t="str">
        <f t="shared" si="5"/>
        <v>X</v>
      </c>
    </row>
    <row r="128" spans="1:5" x14ac:dyDescent="0.3">
      <c r="A128">
        <f>vendors!B130</f>
        <v>0</v>
      </c>
      <c r="B128" s="5">
        <f>vendors!C130</f>
        <v>0</v>
      </c>
      <c r="D128">
        <f t="shared" si="4"/>
        <v>0</v>
      </c>
      <c r="E128" t="str">
        <f t="shared" si="5"/>
        <v>X</v>
      </c>
    </row>
    <row r="129" spans="1:5" x14ac:dyDescent="0.3">
      <c r="A129">
        <f>vendors!B131</f>
        <v>0</v>
      </c>
      <c r="B129" s="5">
        <f>vendors!C131</f>
        <v>0</v>
      </c>
      <c r="D129">
        <f t="shared" si="4"/>
        <v>0</v>
      </c>
      <c r="E129" t="str">
        <f t="shared" si="5"/>
        <v>X</v>
      </c>
    </row>
    <row r="130" spans="1:5" x14ac:dyDescent="0.3">
      <c r="A130">
        <f>vendors!B132</f>
        <v>0</v>
      </c>
      <c r="B130" s="5">
        <f>vendors!C132</f>
        <v>0</v>
      </c>
      <c r="D130">
        <f t="shared" si="4"/>
        <v>0</v>
      </c>
      <c r="E130" t="str">
        <f t="shared" si="5"/>
        <v>X</v>
      </c>
    </row>
    <row r="131" spans="1:5" x14ac:dyDescent="0.3">
      <c r="A131">
        <f>vendors!B133</f>
        <v>0</v>
      </c>
      <c r="B131" s="5">
        <f>vendors!C133</f>
        <v>0</v>
      </c>
      <c r="D131">
        <f t="shared" ref="D131:D194" si="6">C131*B131</f>
        <v>0</v>
      </c>
      <c r="E131" t="str">
        <f t="shared" ref="E131:E194" si="7">IF(C131&lt;500, "X", "")</f>
        <v>X</v>
      </c>
    </row>
    <row r="132" spans="1:5" x14ac:dyDescent="0.3">
      <c r="A132">
        <f>vendors!B134</f>
        <v>0</v>
      </c>
      <c r="B132" s="5">
        <f>vendors!C134</f>
        <v>0</v>
      </c>
      <c r="D132">
        <f t="shared" si="6"/>
        <v>0</v>
      </c>
      <c r="E132" t="str">
        <f t="shared" si="7"/>
        <v>X</v>
      </c>
    </row>
    <row r="133" spans="1:5" x14ac:dyDescent="0.3">
      <c r="A133">
        <f>vendors!B135</f>
        <v>0</v>
      </c>
      <c r="B133" s="5">
        <f>vendors!C135</f>
        <v>0</v>
      </c>
      <c r="D133">
        <f t="shared" si="6"/>
        <v>0</v>
      </c>
      <c r="E133" t="str">
        <f t="shared" si="7"/>
        <v>X</v>
      </c>
    </row>
    <row r="134" spans="1:5" x14ac:dyDescent="0.3">
      <c r="A134">
        <f>vendors!B136</f>
        <v>0</v>
      </c>
      <c r="B134" s="5">
        <f>vendors!C136</f>
        <v>0</v>
      </c>
      <c r="D134">
        <f t="shared" si="6"/>
        <v>0</v>
      </c>
      <c r="E134" t="str">
        <f t="shared" si="7"/>
        <v>X</v>
      </c>
    </row>
    <row r="135" spans="1:5" x14ac:dyDescent="0.3">
      <c r="A135">
        <f>vendors!B137</f>
        <v>0</v>
      </c>
      <c r="B135" s="5">
        <f>vendors!C137</f>
        <v>0</v>
      </c>
      <c r="D135">
        <f t="shared" si="6"/>
        <v>0</v>
      </c>
      <c r="E135" t="str">
        <f t="shared" si="7"/>
        <v>X</v>
      </c>
    </row>
    <row r="136" spans="1:5" x14ac:dyDescent="0.3">
      <c r="A136">
        <f>vendors!B138</f>
        <v>0</v>
      </c>
      <c r="B136" s="5">
        <f>vendors!C138</f>
        <v>0</v>
      </c>
      <c r="D136">
        <f t="shared" si="6"/>
        <v>0</v>
      </c>
      <c r="E136" t="str">
        <f t="shared" si="7"/>
        <v>X</v>
      </c>
    </row>
    <row r="137" spans="1:5" x14ac:dyDescent="0.3">
      <c r="A137">
        <f>vendors!B139</f>
        <v>0</v>
      </c>
      <c r="B137" s="5">
        <f>vendors!C139</f>
        <v>0</v>
      </c>
      <c r="D137">
        <f t="shared" si="6"/>
        <v>0</v>
      </c>
      <c r="E137" t="str">
        <f t="shared" si="7"/>
        <v>X</v>
      </c>
    </row>
    <row r="138" spans="1:5" x14ac:dyDescent="0.3">
      <c r="A138">
        <f>vendors!B140</f>
        <v>0</v>
      </c>
      <c r="B138" s="5">
        <f>vendors!C140</f>
        <v>0</v>
      </c>
      <c r="D138">
        <f t="shared" si="6"/>
        <v>0</v>
      </c>
      <c r="E138" t="str">
        <f t="shared" si="7"/>
        <v>X</v>
      </c>
    </row>
    <row r="139" spans="1:5" x14ac:dyDescent="0.3">
      <c r="A139">
        <f>vendors!B141</f>
        <v>0</v>
      </c>
      <c r="B139" s="5">
        <f>vendors!C141</f>
        <v>0</v>
      </c>
      <c r="D139">
        <f t="shared" si="6"/>
        <v>0</v>
      </c>
      <c r="E139" t="str">
        <f t="shared" si="7"/>
        <v>X</v>
      </c>
    </row>
    <row r="140" spans="1:5" x14ac:dyDescent="0.3">
      <c r="A140">
        <f>vendors!B142</f>
        <v>0</v>
      </c>
      <c r="B140" s="5">
        <f>vendors!C142</f>
        <v>0</v>
      </c>
      <c r="D140">
        <f t="shared" si="6"/>
        <v>0</v>
      </c>
      <c r="E140" t="str">
        <f t="shared" si="7"/>
        <v>X</v>
      </c>
    </row>
    <row r="141" spans="1:5" x14ac:dyDescent="0.3">
      <c r="A141">
        <f>vendors!B143</f>
        <v>0</v>
      </c>
      <c r="B141" s="5">
        <f>vendors!C143</f>
        <v>0</v>
      </c>
      <c r="D141">
        <f t="shared" si="6"/>
        <v>0</v>
      </c>
      <c r="E141" t="str">
        <f t="shared" si="7"/>
        <v>X</v>
      </c>
    </row>
    <row r="142" spans="1:5" x14ac:dyDescent="0.3">
      <c r="A142">
        <f>vendors!B144</f>
        <v>0</v>
      </c>
      <c r="B142" s="5">
        <f>vendors!C144</f>
        <v>0</v>
      </c>
      <c r="D142">
        <f t="shared" si="6"/>
        <v>0</v>
      </c>
      <c r="E142" t="str">
        <f t="shared" si="7"/>
        <v>X</v>
      </c>
    </row>
    <row r="143" spans="1:5" x14ac:dyDescent="0.3">
      <c r="A143">
        <f>vendors!B145</f>
        <v>0</v>
      </c>
      <c r="B143" s="5">
        <f>vendors!C145</f>
        <v>0</v>
      </c>
      <c r="D143">
        <f t="shared" si="6"/>
        <v>0</v>
      </c>
      <c r="E143" t="str">
        <f t="shared" si="7"/>
        <v>X</v>
      </c>
    </row>
    <row r="144" spans="1:5" x14ac:dyDescent="0.3">
      <c r="A144">
        <f>vendors!B146</f>
        <v>0</v>
      </c>
      <c r="B144" s="5">
        <f>vendors!C146</f>
        <v>0</v>
      </c>
      <c r="D144">
        <f t="shared" si="6"/>
        <v>0</v>
      </c>
      <c r="E144" t="str">
        <f t="shared" si="7"/>
        <v>X</v>
      </c>
    </row>
    <row r="145" spans="1:5" x14ac:dyDescent="0.3">
      <c r="A145">
        <f>vendors!B147</f>
        <v>0</v>
      </c>
      <c r="B145" s="5">
        <f>vendors!C147</f>
        <v>0</v>
      </c>
      <c r="D145">
        <f t="shared" si="6"/>
        <v>0</v>
      </c>
      <c r="E145" t="str">
        <f t="shared" si="7"/>
        <v>X</v>
      </c>
    </row>
    <row r="146" spans="1:5" x14ac:dyDescent="0.3">
      <c r="A146">
        <f>vendors!B148</f>
        <v>0</v>
      </c>
      <c r="B146" s="5">
        <f>vendors!C148</f>
        <v>0</v>
      </c>
      <c r="D146">
        <f t="shared" si="6"/>
        <v>0</v>
      </c>
      <c r="E146" t="str">
        <f t="shared" si="7"/>
        <v>X</v>
      </c>
    </row>
    <row r="147" spans="1:5" x14ac:dyDescent="0.3">
      <c r="A147">
        <f>vendors!B149</f>
        <v>0</v>
      </c>
      <c r="B147" s="5">
        <f>vendors!C149</f>
        <v>0</v>
      </c>
      <c r="D147">
        <f t="shared" si="6"/>
        <v>0</v>
      </c>
      <c r="E147" t="str">
        <f t="shared" si="7"/>
        <v>X</v>
      </c>
    </row>
    <row r="148" spans="1:5" x14ac:dyDescent="0.3">
      <c r="A148">
        <f>vendors!B150</f>
        <v>0</v>
      </c>
      <c r="B148" s="5">
        <f>vendors!C150</f>
        <v>0</v>
      </c>
      <c r="D148">
        <f t="shared" si="6"/>
        <v>0</v>
      </c>
      <c r="E148" t="str">
        <f t="shared" si="7"/>
        <v>X</v>
      </c>
    </row>
    <row r="149" spans="1:5" x14ac:dyDescent="0.3">
      <c r="A149">
        <f>vendors!B151</f>
        <v>0</v>
      </c>
      <c r="B149" s="5">
        <f>vendors!C151</f>
        <v>0</v>
      </c>
      <c r="D149">
        <f t="shared" si="6"/>
        <v>0</v>
      </c>
      <c r="E149" t="str">
        <f t="shared" si="7"/>
        <v>X</v>
      </c>
    </row>
    <row r="150" spans="1:5" x14ac:dyDescent="0.3">
      <c r="A150">
        <f>vendors!B152</f>
        <v>0</v>
      </c>
      <c r="B150" s="5">
        <f>vendors!C152</f>
        <v>0</v>
      </c>
      <c r="D150">
        <f t="shared" si="6"/>
        <v>0</v>
      </c>
      <c r="E150" t="str">
        <f t="shared" si="7"/>
        <v>X</v>
      </c>
    </row>
    <row r="151" spans="1:5" x14ac:dyDescent="0.3">
      <c r="A151">
        <f>vendors!B153</f>
        <v>0</v>
      </c>
      <c r="B151" s="5">
        <f>vendors!C153</f>
        <v>0</v>
      </c>
      <c r="D151">
        <f t="shared" si="6"/>
        <v>0</v>
      </c>
      <c r="E151" t="str">
        <f t="shared" si="7"/>
        <v>X</v>
      </c>
    </row>
    <row r="152" spans="1:5" x14ac:dyDescent="0.3">
      <c r="A152">
        <f>vendors!B154</f>
        <v>0</v>
      </c>
      <c r="B152" s="5">
        <f>vendors!C154</f>
        <v>0</v>
      </c>
      <c r="D152">
        <f t="shared" si="6"/>
        <v>0</v>
      </c>
      <c r="E152" t="str">
        <f t="shared" si="7"/>
        <v>X</v>
      </c>
    </row>
    <row r="153" spans="1:5" x14ac:dyDescent="0.3">
      <c r="A153">
        <f>vendors!B155</f>
        <v>0</v>
      </c>
      <c r="B153" s="5">
        <f>vendors!C155</f>
        <v>0</v>
      </c>
      <c r="D153">
        <f t="shared" si="6"/>
        <v>0</v>
      </c>
      <c r="E153" t="str">
        <f t="shared" si="7"/>
        <v>X</v>
      </c>
    </row>
    <row r="154" spans="1:5" x14ac:dyDescent="0.3">
      <c r="A154">
        <f>vendors!B156</f>
        <v>0</v>
      </c>
      <c r="B154" s="5">
        <f>vendors!C156</f>
        <v>0</v>
      </c>
      <c r="D154">
        <f t="shared" si="6"/>
        <v>0</v>
      </c>
      <c r="E154" t="str">
        <f t="shared" si="7"/>
        <v>X</v>
      </c>
    </row>
    <row r="155" spans="1:5" x14ac:dyDescent="0.3">
      <c r="A155">
        <f>vendors!B157</f>
        <v>0</v>
      </c>
      <c r="B155" s="5">
        <f>vendors!C157</f>
        <v>0</v>
      </c>
      <c r="D155">
        <f t="shared" si="6"/>
        <v>0</v>
      </c>
      <c r="E155" t="str">
        <f t="shared" si="7"/>
        <v>X</v>
      </c>
    </row>
    <row r="156" spans="1:5" x14ac:dyDescent="0.3">
      <c r="A156">
        <f>vendors!B158</f>
        <v>0</v>
      </c>
      <c r="B156" s="5">
        <f>vendors!C158</f>
        <v>0</v>
      </c>
      <c r="D156">
        <f t="shared" si="6"/>
        <v>0</v>
      </c>
      <c r="E156" t="str">
        <f t="shared" si="7"/>
        <v>X</v>
      </c>
    </row>
    <row r="157" spans="1:5" x14ac:dyDescent="0.3">
      <c r="A157">
        <f>vendors!B159</f>
        <v>0</v>
      </c>
      <c r="B157" s="5">
        <f>vendors!C159</f>
        <v>0</v>
      </c>
      <c r="D157">
        <f t="shared" si="6"/>
        <v>0</v>
      </c>
      <c r="E157" t="str">
        <f t="shared" si="7"/>
        <v>X</v>
      </c>
    </row>
    <row r="158" spans="1:5" x14ac:dyDescent="0.3">
      <c r="A158">
        <f>vendors!B160</f>
        <v>0</v>
      </c>
      <c r="B158" s="5">
        <f>vendors!C160</f>
        <v>0</v>
      </c>
      <c r="D158">
        <f t="shared" si="6"/>
        <v>0</v>
      </c>
      <c r="E158" t="str">
        <f t="shared" si="7"/>
        <v>X</v>
      </c>
    </row>
    <row r="159" spans="1:5" x14ac:dyDescent="0.3">
      <c r="A159">
        <f>vendors!B161</f>
        <v>0</v>
      </c>
      <c r="B159" s="5">
        <f>vendors!C161</f>
        <v>0</v>
      </c>
      <c r="D159">
        <f t="shared" si="6"/>
        <v>0</v>
      </c>
      <c r="E159" t="str">
        <f t="shared" si="7"/>
        <v>X</v>
      </c>
    </row>
    <row r="160" spans="1:5" x14ac:dyDescent="0.3">
      <c r="A160">
        <f>vendors!B162</f>
        <v>0</v>
      </c>
      <c r="B160" s="5">
        <f>vendors!C162</f>
        <v>0</v>
      </c>
      <c r="D160">
        <f t="shared" si="6"/>
        <v>0</v>
      </c>
      <c r="E160" t="str">
        <f t="shared" si="7"/>
        <v>X</v>
      </c>
    </row>
    <row r="161" spans="1:5" x14ac:dyDescent="0.3">
      <c r="A161">
        <f>vendors!B163</f>
        <v>0</v>
      </c>
      <c r="B161" s="5">
        <f>vendors!C163</f>
        <v>0</v>
      </c>
      <c r="D161">
        <f t="shared" si="6"/>
        <v>0</v>
      </c>
      <c r="E161" t="str">
        <f t="shared" si="7"/>
        <v>X</v>
      </c>
    </row>
    <row r="162" spans="1:5" x14ac:dyDescent="0.3">
      <c r="A162">
        <f>vendors!B164</f>
        <v>0</v>
      </c>
      <c r="B162" s="5">
        <f>vendors!C164</f>
        <v>0</v>
      </c>
      <c r="D162">
        <f t="shared" si="6"/>
        <v>0</v>
      </c>
      <c r="E162" t="str">
        <f t="shared" si="7"/>
        <v>X</v>
      </c>
    </row>
    <row r="163" spans="1:5" x14ac:dyDescent="0.3">
      <c r="A163">
        <f>vendors!B165</f>
        <v>0</v>
      </c>
      <c r="B163" s="5">
        <f>vendors!C165</f>
        <v>0</v>
      </c>
      <c r="D163">
        <f t="shared" si="6"/>
        <v>0</v>
      </c>
      <c r="E163" t="str">
        <f t="shared" si="7"/>
        <v>X</v>
      </c>
    </row>
    <row r="164" spans="1:5" x14ac:dyDescent="0.3">
      <c r="A164">
        <f>vendors!B166</f>
        <v>0</v>
      </c>
      <c r="B164" s="5">
        <f>vendors!C166</f>
        <v>0</v>
      </c>
      <c r="D164">
        <f t="shared" si="6"/>
        <v>0</v>
      </c>
      <c r="E164" t="str">
        <f t="shared" si="7"/>
        <v>X</v>
      </c>
    </row>
    <row r="165" spans="1:5" x14ac:dyDescent="0.3">
      <c r="A165">
        <f>vendors!B167</f>
        <v>0</v>
      </c>
      <c r="B165" s="5">
        <f>vendors!C167</f>
        <v>0</v>
      </c>
      <c r="D165">
        <f t="shared" si="6"/>
        <v>0</v>
      </c>
      <c r="E165" t="str">
        <f t="shared" si="7"/>
        <v>X</v>
      </c>
    </row>
    <row r="166" spans="1:5" x14ac:dyDescent="0.3">
      <c r="A166">
        <f>vendors!B168</f>
        <v>0</v>
      </c>
      <c r="B166" s="5">
        <f>vendors!C168</f>
        <v>0</v>
      </c>
      <c r="D166">
        <f t="shared" si="6"/>
        <v>0</v>
      </c>
      <c r="E166" t="str">
        <f t="shared" si="7"/>
        <v>X</v>
      </c>
    </row>
    <row r="167" spans="1:5" x14ac:dyDescent="0.3">
      <c r="A167">
        <f>vendors!B169</f>
        <v>0</v>
      </c>
      <c r="B167" s="5">
        <f>vendors!C169</f>
        <v>0</v>
      </c>
      <c r="D167">
        <f t="shared" si="6"/>
        <v>0</v>
      </c>
      <c r="E167" t="str">
        <f t="shared" si="7"/>
        <v>X</v>
      </c>
    </row>
    <row r="168" spans="1:5" x14ac:dyDescent="0.3">
      <c r="A168">
        <f>vendors!B170</f>
        <v>0</v>
      </c>
      <c r="B168" s="5">
        <f>vendors!C170</f>
        <v>0</v>
      </c>
      <c r="D168">
        <f t="shared" si="6"/>
        <v>0</v>
      </c>
      <c r="E168" t="str">
        <f t="shared" si="7"/>
        <v>X</v>
      </c>
    </row>
    <row r="169" spans="1:5" x14ac:dyDescent="0.3">
      <c r="A169">
        <f>vendors!B171</f>
        <v>0</v>
      </c>
      <c r="B169" s="5">
        <f>vendors!C171</f>
        <v>0</v>
      </c>
      <c r="D169">
        <f t="shared" si="6"/>
        <v>0</v>
      </c>
      <c r="E169" t="str">
        <f t="shared" si="7"/>
        <v>X</v>
      </c>
    </row>
    <row r="170" spans="1:5" x14ac:dyDescent="0.3">
      <c r="A170">
        <f>vendors!B172</f>
        <v>0</v>
      </c>
      <c r="B170" s="5">
        <f>vendors!C172</f>
        <v>0</v>
      </c>
      <c r="D170">
        <f t="shared" si="6"/>
        <v>0</v>
      </c>
      <c r="E170" t="str">
        <f t="shared" si="7"/>
        <v>X</v>
      </c>
    </row>
    <row r="171" spans="1:5" x14ac:dyDescent="0.3">
      <c r="A171">
        <f>vendors!B173</f>
        <v>0</v>
      </c>
      <c r="B171" s="5">
        <f>vendors!C173</f>
        <v>0</v>
      </c>
      <c r="D171">
        <f t="shared" si="6"/>
        <v>0</v>
      </c>
      <c r="E171" t="str">
        <f t="shared" si="7"/>
        <v>X</v>
      </c>
    </row>
    <row r="172" spans="1:5" x14ac:dyDescent="0.3">
      <c r="A172">
        <f>vendors!B174</f>
        <v>0</v>
      </c>
      <c r="B172" s="5">
        <f>vendors!C174</f>
        <v>0</v>
      </c>
      <c r="D172">
        <f t="shared" si="6"/>
        <v>0</v>
      </c>
      <c r="E172" t="str">
        <f t="shared" si="7"/>
        <v>X</v>
      </c>
    </row>
    <row r="173" spans="1:5" x14ac:dyDescent="0.3">
      <c r="A173">
        <f>vendors!B175</f>
        <v>0</v>
      </c>
      <c r="B173" s="5">
        <f>vendors!C175</f>
        <v>0</v>
      </c>
      <c r="D173">
        <f t="shared" si="6"/>
        <v>0</v>
      </c>
      <c r="E173" t="str">
        <f t="shared" si="7"/>
        <v>X</v>
      </c>
    </row>
    <row r="174" spans="1:5" x14ac:dyDescent="0.3">
      <c r="A174">
        <f>vendors!B176</f>
        <v>0</v>
      </c>
      <c r="B174" s="5">
        <f>vendors!C176</f>
        <v>0</v>
      </c>
      <c r="D174">
        <f t="shared" si="6"/>
        <v>0</v>
      </c>
      <c r="E174" t="str">
        <f t="shared" si="7"/>
        <v>X</v>
      </c>
    </row>
    <row r="175" spans="1:5" x14ac:dyDescent="0.3">
      <c r="A175">
        <f>vendors!B177</f>
        <v>0</v>
      </c>
      <c r="B175" s="5">
        <f>vendors!C177</f>
        <v>0</v>
      </c>
      <c r="D175">
        <f t="shared" si="6"/>
        <v>0</v>
      </c>
      <c r="E175" t="str">
        <f t="shared" si="7"/>
        <v>X</v>
      </c>
    </row>
    <row r="176" spans="1:5" x14ac:dyDescent="0.3">
      <c r="A176">
        <f>vendors!B178</f>
        <v>0</v>
      </c>
      <c r="B176" s="5">
        <f>vendors!C178</f>
        <v>0</v>
      </c>
      <c r="D176">
        <f t="shared" si="6"/>
        <v>0</v>
      </c>
      <c r="E176" t="str">
        <f t="shared" si="7"/>
        <v>X</v>
      </c>
    </row>
    <row r="177" spans="1:5" x14ac:dyDescent="0.3">
      <c r="A177">
        <f>vendors!B179</f>
        <v>0</v>
      </c>
      <c r="B177" s="5">
        <f>vendors!C179</f>
        <v>0</v>
      </c>
      <c r="D177">
        <f t="shared" si="6"/>
        <v>0</v>
      </c>
      <c r="E177" t="str">
        <f t="shared" si="7"/>
        <v>X</v>
      </c>
    </row>
    <row r="178" spans="1:5" x14ac:dyDescent="0.3">
      <c r="A178">
        <f>vendors!B180</f>
        <v>0</v>
      </c>
      <c r="B178" s="5">
        <f>vendors!C180</f>
        <v>0</v>
      </c>
      <c r="D178">
        <f t="shared" si="6"/>
        <v>0</v>
      </c>
      <c r="E178" t="str">
        <f t="shared" si="7"/>
        <v>X</v>
      </c>
    </row>
    <row r="179" spans="1:5" x14ac:dyDescent="0.3">
      <c r="A179">
        <f>vendors!B181</f>
        <v>0</v>
      </c>
      <c r="B179" s="5">
        <f>vendors!C181</f>
        <v>0</v>
      </c>
      <c r="D179">
        <f t="shared" si="6"/>
        <v>0</v>
      </c>
      <c r="E179" t="str">
        <f t="shared" si="7"/>
        <v>X</v>
      </c>
    </row>
    <row r="180" spans="1:5" x14ac:dyDescent="0.3">
      <c r="A180">
        <f>vendors!B182</f>
        <v>0</v>
      </c>
      <c r="B180" s="5">
        <f>vendors!C182</f>
        <v>0</v>
      </c>
      <c r="D180">
        <f t="shared" si="6"/>
        <v>0</v>
      </c>
      <c r="E180" t="str">
        <f t="shared" si="7"/>
        <v>X</v>
      </c>
    </row>
    <row r="181" spans="1:5" x14ac:dyDescent="0.3">
      <c r="A181">
        <f>vendors!B183</f>
        <v>0</v>
      </c>
      <c r="B181" s="5">
        <f>vendors!C183</f>
        <v>0</v>
      </c>
      <c r="D181">
        <f t="shared" si="6"/>
        <v>0</v>
      </c>
      <c r="E181" t="str">
        <f t="shared" si="7"/>
        <v>X</v>
      </c>
    </row>
    <row r="182" spans="1:5" x14ac:dyDescent="0.3">
      <c r="A182">
        <f>vendors!B184</f>
        <v>0</v>
      </c>
      <c r="B182" s="5">
        <f>vendors!C184</f>
        <v>0</v>
      </c>
      <c r="D182">
        <f t="shared" si="6"/>
        <v>0</v>
      </c>
      <c r="E182" t="str">
        <f t="shared" si="7"/>
        <v>X</v>
      </c>
    </row>
    <row r="183" spans="1:5" x14ac:dyDescent="0.3">
      <c r="A183">
        <f>vendors!B185</f>
        <v>0</v>
      </c>
      <c r="B183" s="5">
        <f>vendors!C185</f>
        <v>0</v>
      </c>
      <c r="D183">
        <f t="shared" si="6"/>
        <v>0</v>
      </c>
      <c r="E183" t="str">
        <f t="shared" si="7"/>
        <v>X</v>
      </c>
    </row>
    <row r="184" spans="1:5" x14ac:dyDescent="0.3">
      <c r="A184">
        <f>vendors!B186</f>
        <v>0</v>
      </c>
      <c r="B184" s="5">
        <f>vendors!C186</f>
        <v>0</v>
      </c>
      <c r="D184">
        <f t="shared" si="6"/>
        <v>0</v>
      </c>
      <c r="E184" t="str">
        <f t="shared" si="7"/>
        <v>X</v>
      </c>
    </row>
    <row r="185" spans="1:5" x14ac:dyDescent="0.3">
      <c r="A185">
        <f>vendors!B187</f>
        <v>0</v>
      </c>
      <c r="B185" s="5">
        <f>vendors!C187</f>
        <v>0</v>
      </c>
      <c r="D185">
        <f t="shared" si="6"/>
        <v>0</v>
      </c>
      <c r="E185" t="str">
        <f t="shared" si="7"/>
        <v>X</v>
      </c>
    </row>
    <row r="186" spans="1:5" x14ac:dyDescent="0.3">
      <c r="A186">
        <f>vendors!B188</f>
        <v>0</v>
      </c>
      <c r="B186" s="5">
        <f>vendors!C188</f>
        <v>0</v>
      </c>
      <c r="D186">
        <f t="shared" si="6"/>
        <v>0</v>
      </c>
      <c r="E186" t="str">
        <f t="shared" si="7"/>
        <v>X</v>
      </c>
    </row>
    <row r="187" spans="1:5" x14ac:dyDescent="0.3">
      <c r="A187">
        <f>vendors!B189</f>
        <v>0</v>
      </c>
      <c r="B187" s="5">
        <f>vendors!C189</f>
        <v>0</v>
      </c>
      <c r="D187">
        <f t="shared" si="6"/>
        <v>0</v>
      </c>
      <c r="E187" t="str">
        <f t="shared" si="7"/>
        <v>X</v>
      </c>
    </row>
    <row r="188" spans="1:5" x14ac:dyDescent="0.3">
      <c r="A188">
        <f>vendors!B190</f>
        <v>0</v>
      </c>
      <c r="B188" s="5">
        <f>vendors!C190</f>
        <v>0</v>
      </c>
      <c r="D188">
        <f t="shared" si="6"/>
        <v>0</v>
      </c>
      <c r="E188" t="str">
        <f t="shared" si="7"/>
        <v>X</v>
      </c>
    </row>
    <row r="189" spans="1:5" x14ac:dyDescent="0.3">
      <c r="A189">
        <f>vendors!B191</f>
        <v>0</v>
      </c>
      <c r="B189" s="5">
        <f>vendors!C191</f>
        <v>0</v>
      </c>
      <c r="D189">
        <f t="shared" si="6"/>
        <v>0</v>
      </c>
      <c r="E189" t="str">
        <f t="shared" si="7"/>
        <v>X</v>
      </c>
    </row>
    <row r="190" spans="1:5" x14ac:dyDescent="0.3">
      <c r="A190">
        <f>vendors!B192</f>
        <v>0</v>
      </c>
      <c r="B190" s="5">
        <f>vendors!C192</f>
        <v>0</v>
      </c>
      <c r="D190">
        <f t="shared" si="6"/>
        <v>0</v>
      </c>
      <c r="E190" t="str">
        <f t="shared" si="7"/>
        <v>X</v>
      </c>
    </row>
    <row r="191" spans="1:5" x14ac:dyDescent="0.3">
      <c r="A191">
        <f>vendors!B193</f>
        <v>0</v>
      </c>
      <c r="B191" s="5">
        <f>vendors!C193</f>
        <v>0</v>
      </c>
      <c r="D191">
        <f t="shared" si="6"/>
        <v>0</v>
      </c>
      <c r="E191" t="str">
        <f t="shared" si="7"/>
        <v>X</v>
      </c>
    </row>
    <row r="192" spans="1:5" x14ac:dyDescent="0.3">
      <c r="A192">
        <f>vendors!B194</f>
        <v>0</v>
      </c>
      <c r="B192" s="5">
        <f>vendors!C194</f>
        <v>0</v>
      </c>
      <c r="D192">
        <f t="shared" si="6"/>
        <v>0</v>
      </c>
      <c r="E192" t="str">
        <f t="shared" si="7"/>
        <v>X</v>
      </c>
    </row>
    <row r="193" spans="1:5" x14ac:dyDescent="0.3">
      <c r="A193">
        <f>vendors!B195</f>
        <v>0</v>
      </c>
      <c r="B193" s="5">
        <f>vendors!C195</f>
        <v>0</v>
      </c>
      <c r="D193">
        <f t="shared" si="6"/>
        <v>0</v>
      </c>
      <c r="E193" t="str">
        <f t="shared" si="7"/>
        <v>X</v>
      </c>
    </row>
    <row r="194" spans="1:5" x14ac:dyDescent="0.3">
      <c r="A194">
        <f>vendors!B196</f>
        <v>0</v>
      </c>
      <c r="B194" s="5">
        <f>vendors!C196</f>
        <v>0</v>
      </c>
      <c r="D194">
        <f t="shared" si="6"/>
        <v>0</v>
      </c>
      <c r="E194" t="str">
        <f t="shared" si="7"/>
        <v>X</v>
      </c>
    </row>
    <row r="195" spans="1:5" x14ac:dyDescent="0.3">
      <c r="A195">
        <f>vendors!B197</f>
        <v>0</v>
      </c>
      <c r="B195" s="5">
        <f>vendors!C197</f>
        <v>0</v>
      </c>
      <c r="D195">
        <f t="shared" ref="D195:D258" si="8">C195*B195</f>
        <v>0</v>
      </c>
      <c r="E195" t="str">
        <f t="shared" ref="E195:E258" si="9">IF(C195&lt;500, "X", "")</f>
        <v>X</v>
      </c>
    </row>
    <row r="196" spans="1:5" x14ac:dyDescent="0.3">
      <c r="A196">
        <f>vendors!B198</f>
        <v>0</v>
      </c>
      <c r="B196" s="5">
        <f>vendors!C198</f>
        <v>0</v>
      </c>
      <c r="D196">
        <f t="shared" si="8"/>
        <v>0</v>
      </c>
      <c r="E196" t="str">
        <f t="shared" si="9"/>
        <v>X</v>
      </c>
    </row>
    <row r="197" spans="1:5" x14ac:dyDescent="0.3">
      <c r="A197">
        <f>vendors!B199</f>
        <v>0</v>
      </c>
      <c r="B197" s="5">
        <f>vendors!C199</f>
        <v>0</v>
      </c>
      <c r="D197">
        <f t="shared" si="8"/>
        <v>0</v>
      </c>
      <c r="E197" t="str">
        <f t="shared" si="9"/>
        <v>X</v>
      </c>
    </row>
    <row r="198" spans="1:5" x14ac:dyDescent="0.3">
      <c r="A198">
        <f>vendors!B200</f>
        <v>0</v>
      </c>
      <c r="B198" s="5">
        <f>vendors!C200</f>
        <v>0</v>
      </c>
      <c r="D198">
        <f t="shared" si="8"/>
        <v>0</v>
      </c>
      <c r="E198" t="str">
        <f t="shared" si="9"/>
        <v>X</v>
      </c>
    </row>
    <row r="199" spans="1:5" x14ac:dyDescent="0.3">
      <c r="A199">
        <f>vendors!B201</f>
        <v>0</v>
      </c>
      <c r="B199" s="5">
        <f>vendors!C201</f>
        <v>0</v>
      </c>
      <c r="D199">
        <f t="shared" si="8"/>
        <v>0</v>
      </c>
      <c r="E199" t="str">
        <f t="shared" si="9"/>
        <v>X</v>
      </c>
    </row>
    <row r="200" spans="1:5" x14ac:dyDescent="0.3">
      <c r="A200">
        <f>vendors!B202</f>
        <v>0</v>
      </c>
      <c r="B200" s="5">
        <f>vendors!C202</f>
        <v>0</v>
      </c>
      <c r="D200">
        <f t="shared" si="8"/>
        <v>0</v>
      </c>
      <c r="E200" t="str">
        <f t="shared" si="9"/>
        <v>X</v>
      </c>
    </row>
    <row r="201" spans="1:5" x14ac:dyDescent="0.3">
      <c r="A201">
        <f>vendors!B203</f>
        <v>0</v>
      </c>
      <c r="B201" s="5">
        <f>vendors!C203</f>
        <v>0</v>
      </c>
      <c r="D201">
        <f t="shared" si="8"/>
        <v>0</v>
      </c>
      <c r="E201" t="str">
        <f t="shared" si="9"/>
        <v>X</v>
      </c>
    </row>
    <row r="202" spans="1:5" x14ac:dyDescent="0.3">
      <c r="A202">
        <f>vendors!B204</f>
        <v>0</v>
      </c>
      <c r="B202" s="5">
        <f>vendors!C204</f>
        <v>0</v>
      </c>
      <c r="D202">
        <f t="shared" si="8"/>
        <v>0</v>
      </c>
      <c r="E202" t="str">
        <f t="shared" si="9"/>
        <v>X</v>
      </c>
    </row>
    <row r="203" spans="1:5" x14ac:dyDescent="0.3">
      <c r="A203">
        <f>vendors!B205</f>
        <v>0</v>
      </c>
      <c r="B203" s="5">
        <f>vendors!C205</f>
        <v>0</v>
      </c>
      <c r="D203">
        <f t="shared" si="8"/>
        <v>0</v>
      </c>
      <c r="E203" t="str">
        <f t="shared" si="9"/>
        <v>X</v>
      </c>
    </row>
    <row r="204" spans="1:5" x14ac:dyDescent="0.3">
      <c r="A204">
        <f>vendors!B206</f>
        <v>0</v>
      </c>
      <c r="B204" s="5">
        <f>vendors!C206</f>
        <v>0</v>
      </c>
      <c r="D204">
        <f t="shared" si="8"/>
        <v>0</v>
      </c>
      <c r="E204" t="str">
        <f t="shared" si="9"/>
        <v>X</v>
      </c>
    </row>
    <row r="205" spans="1:5" x14ac:dyDescent="0.3">
      <c r="A205">
        <f>vendors!B207</f>
        <v>0</v>
      </c>
      <c r="B205" s="5">
        <f>vendors!C207</f>
        <v>0</v>
      </c>
      <c r="D205">
        <f t="shared" si="8"/>
        <v>0</v>
      </c>
      <c r="E205" t="str">
        <f t="shared" si="9"/>
        <v>X</v>
      </c>
    </row>
    <row r="206" spans="1:5" x14ac:dyDescent="0.3">
      <c r="A206">
        <f>vendors!B208</f>
        <v>0</v>
      </c>
      <c r="B206" s="5">
        <f>vendors!C208</f>
        <v>0</v>
      </c>
      <c r="D206">
        <f t="shared" si="8"/>
        <v>0</v>
      </c>
      <c r="E206" t="str">
        <f t="shared" si="9"/>
        <v>X</v>
      </c>
    </row>
    <row r="207" spans="1:5" x14ac:dyDescent="0.3">
      <c r="A207">
        <f>vendors!B209</f>
        <v>0</v>
      </c>
      <c r="B207" s="5">
        <f>vendors!C209</f>
        <v>0</v>
      </c>
      <c r="D207">
        <f t="shared" si="8"/>
        <v>0</v>
      </c>
      <c r="E207" t="str">
        <f t="shared" si="9"/>
        <v>X</v>
      </c>
    </row>
    <row r="208" spans="1:5" x14ac:dyDescent="0.3">
      <c r="A208">
        <f>vendors!B210</f>
        <v>0</v>
      </c>
      <c r="B208" s="5">
        <f>vendors!C210</f>
        <v>0</v>
      </c>
      <c r="D208">
        <f t="shared" si="8"/>
        <v>0</v>
      </c>
      <c r="E208" t="str">
        <f t="shared" si="9"/>
        <v>X</v>
      </c>
    </row>
    <row r="209" spans="1:5" x14ac:dyDescent="0.3">
      <c r="A209">
        <f>vendors!B211</f>
        <v>0</v>
      </c>
      <c r="B209" s="5">
        <f>vendors!C211</f>
        <v>0</v>
      </c>
      <c r="D209">
        <f t="shared" si="8"/>
        <v>0</v>
      </c>
      <c r="E209" t="str">
        <f t="shared" si="9"/>
        <v>X</v>
      </c>
    </row>
    <row r="210" spans="1:5" x14ac:dyDescent="0.3">
      <c r="A210">
        <f>vendors!B212</f>
        <v>0</v>
      </c>
      <c r="B210" s="5">
        <f>vendors!C212</f>
        <v>0</v>
      </c>
      <c r="D210">
        <f t="shared" si="8"/>
        <v>0</v>
      </c>
      <c r="E210" t="str">
        <f t="shared" si="9"/>
        <v>X</v>
      </c>
    </row>
    <row r="211" spans="1:5" x14ac:dyDescent="0.3">
      <c r="A211">
        <f>vendors!B213</f>
        <v>0</v>
      </c>
      <c r="B211" s="5">
        <f>vendors!C213</f>
        <v>0</v>
      </c>
      <c r="D211">
        <f t="shared" si="8"/>
        <v>0</v>
      </c>
      <c r="E211" t="str">
        <f t="shared" si="9"/>
        <v>X</v>
      </c>
    </row>
    <row r="212" spans="1:5" x14ac:dyDescent="0.3">
      <c r="A212">
        <f>vendors!B214</f>
        <v>0</v>
      </c>
      <c r="B212" s="5">
        <f>vendors!C214</f>
        <v>0</v>
      </c>
      <c r="D212">
        <f t="shared" si="8"/>
        <v>0</v>
      </c>
      <c r="E212" t="str">
        <f t="shared" si="9"/>
        <v>X</v>
      </c>
    </row>
    <row r="213" spans="1:5" x14ac:dyDescent="0.3">
      <c r="A213">
        <f>vendors!B215</f>
        <v>0</v>
      </c>
      <c r="B213" s="5">
        <f>vendors!C215</f>
        <v>0</v>
      </c>
      <c r="D213">
        <f t="shared" si="8"/>
        <v>0</v>
      </c>
      <c r="E213" t="str">
        <f t="shared" si="9"/>
        <v>X</v>
      </c>
    </row>
    <row r="214" spans="1:5" x14ac:dyDescent="0.3">
      <c r="A214">
        <f>vendors!B216</f>
        <v>0</v>
      </c>
      <c r="B214" s="5">
        <f>vendors!C216</f>
        <v>0</v>
      </c>
      <c r="D214">
        <f t="shared" si="8"/>
        <v>0</v>
      </c>
      <c r="E214" t="str">
        <f t="shared" si="9"/>
        <v>X</v>
      </c>
    </row>
    <row r="215" spans="1:5" x14ac:dyDescent="0.3">
      <c r="A215">
        <f>vendors!B217</f>
        <v>0</v>
      </c>
      <c r="B215" s="5">
        <f>vendors!C217</f>
        <v>0</v>
      </c>
      <c r="D215">
        <f t="shared" si="8"/>
        <v>0</v>
      </c>
      <c r="E215" t="str">
        <f t="shared" si="9"/>
        <v>X</v>
      </c>
    </row>
    <row r="216" spans="1:5" x14ac:dyDescent="0.3">
      <c r="A216">
        <f>vendors!B218</f>
        <v>0</v>
      </c>
      <c r="B216" s="5">
        <f>vendors!C218</f>
        <v>0</v>
      </c>
      <c r="D216">
        <f t="shared" si="8"/>
        <v>0</v>
      </c>
      <c r="E216" t="str">
        <f t="shared" si="9"/>
        <v>X</v>
      </c>
    </row>
    <row r="217" spans="1:5" x14ac:dyDescent="0.3">
      <c r="A217">
        <f>vendors!B219</f>
        <v>0</v>
      </c>
      <c r="B217" s="5">
        <f>vendors!C219</f>
        <v>0</v>
      </c>
      <c r="D217">
        <f t="shared" si="8"/>
        <v>0</v>
      </c>
      <c r="E217" t="str">
        <f t="shared" si="9"/>
        <v>X</v>
      </c>
    </row>
    <row r="218" spans="1:5" x14ac:dyDescent="0.3">
      <c r="A218">
        <f>vendors!B220</f>
        <v>0</v>
      </c>
      <c r="B218" s="5">
        <f>vendors!C220</f>
        <v>0</v>
      </c>
      <c r="D218">
        <f t="shared" si="8"/>
        <v>0</v>
      </c>
      <c r="E218" t="str">
        <f t="shared" si="9"/>
        <v>X</v>
      </c>
    </row>
    <row r="219" spans="1:5" x14ac:dyDescent="0.3">
      <c r="A219">
        <f>vendors!B221</f>
        <v>0</v>
      </c>
      <c r="B219" s="5">
        <f>vendors!C221</f>
        <v>0</v>
      </c>
      <c r="D219">
        <f t="shared" si="8"/>
        <v>0</v>
      </c>
      <c r="E219" t="str">
        <f t="shared" si="9"/>
        <v>X</v>
      </c>
    </row>
    <row r="220" spans="1:5" x14ac:dyDescent="0.3">
      <c r="A220">
        <f>vendors!B222</f>
        <v>0</v>
      </c>
      <c r="B220" s="5">
        <f>vendors!C222</f>
        <v>0</v>
      </c>
      <c r="D220">
        <f t="shared" si="8"/>
        <v>0</v>
      </c>
      <c r="E220" t="str">
        <f t="shared" si="9"/>
        <v>X</v>
      </c>
    </row>
    <row r="221" spans="1:5" x14ac:dyDescent="0.3">
      <c r="A221">
        <f>vendors!B223</f>
        <v>0</v>
      </c>
      <c r="B221" s="5">
        <f>vendors!C223</f>
        <v>0</v>
      </c>
      <c r="D221">
        <f t="shared" si="8"/>
        <v>0</v>
      </c>
      <c r="E221" t="str">
        <f t="shared" si="9"/>
        <v>X</v>
      </c>
    </row>
    <row r="222" spans="1:5" x14ac:dyDescent="0.3">
      <c r="A222">
        <f>vendors!B224</f>
        <v>0</v>
      </c>
      <c r="B222" s="5">
        <f>vendors!C224</f>
        <v>0</v>
      </c>
      <c r="D222">
        <f t="shared" si="8"/>
        <v>0</v>
      </c>
      <c r="E222" t="str">
        <f t="shared" si="9"/>
        <v>X</v>
      </c>
    </row>
    <row r="223" spans="1:5" x14ac:dyDescent="0.3">
      <c r="A223">
        <f>vendors!B225</f>
        <v>0</v>
      </c>
      <c r="B223" s="5">
        <f>vendors!C225</f>
        <v>0</v>
      </c>
      <c r="D223">
        <f t="shared" si="8"/>
        <v>0</v>
      </c>
      <c r="E223" t="str">
        <f t="shared" si="9"/>
        <v>X</v>
      </c>
    </row>
    <row r="224" spans="1:5" x14ac:dyDescent="0.3">
      <c r="A224">
        <f>vendors!B226</f>
        <v>0</v>
      </c>
      <c r="B224" s="5">
        <f>vendors!C226</f>
        <v>0</v>
      </c>
      <c r="D224">
        <f t="shared" si="8"/>
        <v>0</v>
      </c>
      <c r="E224" t="str">
        <f t="shared" si="9"/>
        <v>X</v>
      </c>
    </row>
    <row r="225" spans="1:5" x14ac:dyDescent="0.3">
      <c r="A225">
        <f>vendors!B227</f>
        <v>0</v>
      </c>
      <c r="B225" s="5">
        <f>vendors!C227</f>
        <v>0</v>
      </c>
      <c r="D225">
        <f t="shared" si="8"/>
        <v>0</v>
      </c>
      <c r="E225" t="str">
        <f t="shared" si="9"/>
        <v>X</v>
      </c>
    </row>
    <row r="226" spans="1:5" x14ac:dyDescent="0.3">
      <c r="A226">
        <f>vendors!B228</f>
        <v>0</v>
      </c>
      <c r="B226" s="5">
        <f>vendors!C228</f>
        <v>0</v>
      </c>
      <c r="D226">
        <f t="shared" si="8"/>
        <v>0</v>
      </c>
      <c r="E226" t="str">
        <f t="shared" si="9"/>
        <v>X</v>
      </c>
    </row>
    <row r="227" spans="1:5" x14ac:dyDescent="0.3">
      <c r="A227">
        <f>vendors!B229</f>
        <v>0</v>
      </c>
      <c r="B227" s="5">
        <f>vendors!C229</f>
        <v>0</v>
      </c>
      <c r="D227">
        <f t="shared" si="8"/>
        <v>0</v>
      </c>
      <c r="E227" t="str">
        <f t="shared" si="9"/>
        <v>X</v>
      </c>
    </row>
    <row r="228" spans="1:5" x14ac:dyDescent="0.3">
      <c r="A228">
        <f>vendors!B230</f>
        <v>0</v>
      </c>
      <c r="B228" s="5">
        <f>vendors!C230</f>
        <v>0</v>
      </c>
      <c r="D228">
        <f t="shared" si="8"/>
        <v>0</v>
      </c>
      <c r="E228" t="str">
        <f t="shared" si="9"/>
        <v>X</v>
      </c>
    </row>
    <row r="229" spans="1:5" x14ac:dyDescent="0.3">
      <c r="A229">
        <f>vendors!B231</f>
        <v>0</v>
      </c>
      <c r="B229" s="5">
        <f>vendors!C231</f>
        <v>0</v>
      </c>
      <c r="D229">
        <f t="shared" si="8"/>
        <v>0</v>
      </c>
      <c r="E229" t="str">
        <f t="shared" si="9"/>
        <v>X</v>
      </c>
    </row>
    <row r="230" spans="1:5" x14ac:dyDescent="0.3">
      <c r="A230">
        <f>vendors!B232</f>
        <v>0</v>
      </c>
      <c r="B230" s="5">
        <f>vendors!C232</f>
        <v>0</v>
      </c>
      <c r="D230">
        <f t="shared" si="8"/>
        <v>0</v>
      </c>
      <c r="E230" t="str">
        <f t="shared" si="9"/>
        <v>X</v>
      </c>
    </row>
    <row r="231" spans="1:5" x14ac:dyDescent="0.3">
      <c r="A231">
        <f>vendors!B233</f>
        <v>0</v>
      </c>
      <c r="B231" s="5">
        <f>vendors!C233</f>
        <v>0</v>
      </c>
      <c r="D231">
        <f t="shared" si="8"/>
        <v>0</v>
      </c>
      <c r="E231" t="str">
        <f t="shared" si="9"/>
        <v>X</v>
      </c>
    </row>
    <row r="232" spans="1:5" x14ac:dyDescent="0.3">
      <c r="A232">
        <f>vendors!B234</f>
        <v>0</v>
      </c>
      <c r="B232" s="5">
        <f>vendors!C234</f>
        <v>0</v>
      </c>
      <c r="D232">
        <f t="shared" si="8"/>
        <v>0</v>
      </c>
      <c r="E232" t="str">
        <f t="shared" si="9"/>
        <v>X</v>
      </c>
    </row>
    <row r="233" spans="1:5" x14ac:dyDescent="0.3">
      <c r="A233">
        <f>vendors!B235</f>
        <v>0</v>
      </c>
      <c r="B233" s="5">
        <f>vendors!C235</f>
        <v>0</v>
      </c>
      <c r="D233">
        <f t="shared" si="8"/>
        <v>0</v>
      </c>
      <c r="E233" t="str">
        <f t="shared" si="9"/>
        <v>X</v>
      </c>
    </row>
    <row r="234" spans="1:5" x14ac:dyDescent="0.3">
      <c r="A234">
        <f>vendors!B236</f>
        <v>0</v>
      </c>
      <c r="B234" s="5">
        <f>vendors!C236</f>
        <v>0</v>
      </c>
      <c r="D234">
        <f t="shared" si="8"/>
        <v>0</v>
      </c>
      <c r="E234" t="str">
        <f t="shared" si="9"/>
        <v>X</v>
      </c>
    </row>
    <row r="235" spans="1:5" x14ac:dyDescent="0.3">
      <c r="A235">
        <f>vendors!B237</f>
        <v>0</v>
      </c>
      <c r="B235" s="5">
        <f>vendors!C237</f>
        <v>0</v>
      </c>
      <c r="D235">
        <f t="shared" si="8"/>
        <v>0</v>
      </c>
      <c r="E235" t="str">
        <f t="shared" si="9"/>
        <v>X</v>
      </c>
    </row>
    <row r="236" spans="1:5" x14ac:dyDescent="0.3">
      <c r="A236">
        <f>vendors!B238</f>
        <v>0</v>
      </c>
      <c r="B236" s="5">
        <f>vendors!C238</f>
        <v>0</v>
      </c>
      <c r="D236">
        <f t="shared" si="8"/>
        <v>0</v>
      </c>
      <c r="E236" t="str">
        <f t="shared" si="9"/>
        <v>X</v>
      </c>
    </row>
    <row r="237" spans="1:5" x14ac:dyDescent="0.3">
      <c r="A237">
        <f>vendors!B239</f>
        <v>0</v>
      </c>
      <c r="B237" s="5">
        <f>vendors!C239</f>
        <v>0</v>
      </c>
      <c r="D237">
        <f t="shared" si="8"/>
        <v>0</v>
      </c>
      <c r="E237" t="str">
        <f t="shared" si="9"/>
        <v>X</v>
      </c>
    </row>
    <row r="238" spans="1:5" x14ac:dyDescent="0.3">
      <c r="A238">
        <f>vendors!B240</f>
        <v>0</v>
      </c>
      <c r="B238" s="5">
        <f>vendors!C240</f>
        <v>0</v>
      </c>
      <c r="D238">
        <f t="shared" si="8"/>
        <v>0</v>
      </c>
      <c r="E238" t="str">
        <f t="shared" si="9"/>
        <v>X</v>
      </c>
    </row>
    <row r="239" spans="1:5" x14ac:dyDescent="0.3">
      <c r="A239">
        <f>vendors!B241</f>
        <v>0</v>
      </c>
      <c r="B239" s="5">
        <f>vendors!C241</f>
        <v>0</v>
      </c>
      <c r="D239">
        <f t="shared" si="8"/>
        <v>0</v>
      </c>
      <c r="E239" t="str">
        <f t="shared" si="9"/>
        <v>X</v>
      </c>
    </row>
    <row r="240" spans="1:5" x14ac:dyDescent="0.3">
      <c r="A240">
        <f>vendors!B242</f>
        <v>0</v>
      </c>
      <c r="B240" s="5">
        <f>vendors!C242</f>
        <v>0</v>
      </c>
      <c r="D240">
        <f t="shared" si="8"/>
        <v>0</v>
      </c>
      <c r="E240" t="str">
        <f t="shared" si="9"/>
        <v>X</v>
      </c>
    </row>
    <row r="241" spans="1:5" x14ac:dyDescent="0.3">
      <c r="A241">
        <f>vendors!B243</f>
        <v>0</v>
      </c>
      <c r="B241" s="5">
        <f>vendors!C243</f>
        <v>0</v>
      </c>
      <c r="D241">
        <f t="shared" si="8"/>
        <v>0</v>
      </c>
      <c r="E241" t="str">
        <f t="shared" si="9"/>
        <v>X</v>
      </c>
    </row>
    <row r="242" spans="1:5" x14ac:dyDescent="0.3">
      <c r="A242">
        <f>vendors!B244</f>
        <v>0</v>
      </c>
      <c r="B242" s="5">
        <f>vendors!C244</f>
        <v>0</v>
      </c>
      <c r="D242">
        <f t="shared" si="8"/>
        <v>0</v>
      </c>
      <c r="E242" t="str">
        <f t="shared" si="9"/>
        <v>X</v>
      </c>
    </row>
    <row r="243" spans="1:5" x14ac:dyDescent="0.3">
      <c r="A243">
        <f>vendors!B245</f>
        <v>0</v>
      </c>
      <c r="B243" s="5">
        <f>vendors!C245</f>
        <v>0</v>
      </c>
      <c r="D243">
        <f t="shared" si="8"/>
        <v>0</v>
      </c>
      <c r="E243" t="str">
        <f t="shared" si="9"/>
        <v>X</v>
      </c>
    </row>
    <row r="244" spans="1:5" x14ac:dyDescent="0.3">
      <c r="A244">
        <f>vendors!B246</f>
        <v>0</v>
      </c>
      <c r="B244" s="5">
        <f>vendors!C246</f>
        <v>0</v>
      </c>
      <c r="D244">
        <f t="shared" si="8"/>
        <v>0</v>
      </c>
      <c r="E244" t="str">
        <f t="shared" si="9"/>
        <v>X</v>
      </c>
    </row>
    <row r="245" spans="1:5" x14ac:dyDescent="0.3">
      <c r="A245">
        <f>vendors!B247</f>
        <v>0</v>
      </c>
      <c r="B245" s="5">
        <f>vendors!C247</f>
        <v>0</v>
      </c>
      <c r="D245">
        <f t="shared" si="8"/>
        <v>0</v>
      </c>
      <c r="E245" t="str">
        <f t="shared" si="9"/>
        <v>X</v>
      </c>
    </row>
    <row r="246" spans="1:5" x14ac:dyDescent="0.3">
      <c r="A246">
        <f>vendors!B248</f>
        <v>0</v>
      </c>
      <c r="B246" s="5">
        <f>vendors!C248</f>
        <v>0</v>
      </c>
      <c r="D246">
        <f t="shared" si="8"/>
        <v>0</v>
      </c>
      <c r="E246" t="str">
        <f t="shared" si="9"/>
        <v>X</v>
      </c>
    </row>
    <row r="247" spans="1:5" x14ac:dyDescent="0.3">
      <c r="A247">
        <f>vendors!B249</f>
        <v>0</v>
      </c>
      <c r="B247" s="5">
        <f>vendors!C249</f>
        <v>0</v>
      </c>
      <c r="D247">
        <f t="shared" si="8"/>
        <v>0</v>
      </c>
      <c r="E247" t="str">
        <f t="shared" si="9"/>
        <v>X</v>
      </c>
    </row>
    <row r="248" spans="1:5" x14ac:dyDescent="0.3">
      <c r="A248">
        <f>vendors!B250</f>
        <v>0</v>
      </c>
      <c r="B248" s="5">
        <f>vendors!C250</f>
        <v>0</v>
      </c>
      <c r="D248">
        <f t="shared" si="8"/>
        <v>0</v>
      </c>
      <c r="E248" t="str">
        <f t="shared" si="9"/>
        <v>X</v>
      </c>
    </row>
    <row r="249" spans="1:5" x14ac:dyDescent="0.3">
      <c r="A249">
        <f>vendors!B251</f>
        <v>0</v>
      </c>
      <c r="B249" s="5">
        <f>vendors!C251</f>
        <v>0</v>
      </c>
      <c r="D249">
        <f t="shared" si="8"/>
        <v>0</v>
      </c>
      <c r="E249" t="str">
        <f t="shared" si="9"/>
        <v>X</v>
      </c>
    </row>
    <row r="250" spans="1:5" x14ac:dyDescent="0.3">
      <c r="A250">
        <f>vendors!B252</f>
        <v>0</v>
      </c>
      <c r="B250" s="5">
        <f>vendors!C252</f>
        <v>0</v>
      </c>
      <c r="D250">
        <f t="shared" si="8"/>
        <v>0</v>
      </c>
      <c r="E250" t="str">
        <f t="shared" si="9"/>
        <v>X</v>
      </c>
    </row>
    <row r="251" spans="1:5" x14ac:dyDescent="0.3">
      <c r="A251">
        <f>vendors!B253</f>
        <v>0</v>
      </c>
      <c r="B251" s="5">
        <f>vendors!C253</f>
        <v>0</v>
      </c>
      <c r="D251">
        <f t="shared" si="8"/>
        <v>0</v>
      </c>
      <c r="E251" t="str">
        <f t="shared" si="9"/>
        <v>X</v>
      </c>
    </row>
    <row r="252" spans="1:5" x14ac:dyDescent="0.3">
      <c r="A252">
        <f>vendors!B254</f>
        <v>0</v>
      </c>
      <c r="B252" s="5">
        <f>vendors!C254</f>
        <v>0</v>
      </c>
      <c r="D252">
        <f t="shared" si="8"/>
        <v>0</v>
      </c>
      <c r="E252" t="str">
        <f t="shared" si="9"/>
        <v>X</v>
      </c>
    </row>
    <row r="253" spans="1:5" x14ac:dyDescent="0.3">
      <c r="A253">
        <f>vendors!B255</f>
        <v>0</v>
      </c>
      <c r="B253" s="5">
        <f>vendors!C255</f>
        <v>0</v>
      </c>
      <c r="D253">
        <f t="shared" si="8"/>
        <v>0</v>
      </c>
      <c r="E253" t="str">
        <f t="shared" si="9"/>
        <v>X</v>
      </c>
    </row>
    <row r="254" spans="1:5" x14ac:dyDescent="0.3">
      <c r="A254">
        <f>vendors!B256</f>
        <v>0</v>
      </c>
      <c r="B254" s="5">
        <f>vendors!C256</f>
        <v>0</v>
      </c>
      <c r="D254">
        <f t="shared" si="8"/>
        <v>0</v>
      </c>
      <c r="E254" t="str">
        <f t="shared" si="9"/>
        <v>X</v>
      </c>
    </row>
    <row r="255" spans="1:5" x14ac:dyDescent="0.3">
      <c r="A255">
        <f>vendors!B257</f>
        <v>0</v>
      </c>
      <c r="B255" s="5">
        <f>vendors!C257</f>
        <v>0</v>
      </c>
      <c r="D255">
        <f t="shared" si="8"/>
        <v>0</v>
      </c>
      <c r="E255" t="str">
        <f t="shared" si="9"/>
        <v>X</v>
      </c>
    </row>
    <row r="256" spans="1:5" x14ac:dyDescent="0.3">
      <c r="A256">
        <f>vendors!B258</f>
        <v>0</v>
      </c>
      <c r="B256" s="5">
        <f>vendors!C258</f>
        <v>0</v>
      </c>
      <c r="D256">
        <f t="shared" si="8"/>
        <v>0</v>
      </c>
      <c r="E256" t="str">
        <f t="shared" si="9"/>
        <v>X</v>
      </c>
    </row>
    <row r="257" spans="1:5" x14ac:dyDescent="0.3">
      <c r="A257">
        <f>vendors!B259</f>
        <v>0</v>
      </c>
      <c r="B257" s="5">
        <f>vendors!C259</f>
        <v>0</v>
      </c>
      <c r="D257">
        <f t="shared" si="8"/>
        <v>0</v>
      </c>
      <c r="E257" t="str">
        <f t="shared" si="9"/>
        <v>X</v>
      </c>
    </row>
    <row r="258" spans="1:5" x14ac:dyDescent="0.3">
      <c r="A258">
        <f>vendors!B260</f>
        <v>0</v>
      </c>
      <c r="B258" s="5">
        <f>vendors!C260</f>
        <v>0</v>
      </c>
      <c r="D258">
        <f t="shared" si="8"/>
        <v>0</v>
      </c>
      <c r="E258" t="str">
        <f t="shared" si="9"/>
        <v>X</v>
      </c>
    </row>
    <row r="259" spans="1:5" x14ac:dyDescent="0.3">
      <c r="A259">
        <f>vendors!B261</f>
        <v>0</v>
      </c>
      <c r="B259" s="5">
        <f>vendors!C261</f>
        <v>0</v>
      </c>
      <c r="D259">
        <f t="shared" ref="D259:D322" si="10">C259*B259</f>
        <v>0</v>
      </c>
      <c r="E259" t="str">
        <f t="shared" ref="E259:E322" si="11">IF(C259&lt;500, "X", "")</f>
        <v>X</v>
      </c>
    </row>
    <row r="260" spans="1:5" x14ac:dyDescent="0.3">
      <c r="A260">
        <f>vendors!B262</f>
        <v>0</v>
      </c>
      <c r="B260" s="5">
        <f>vendors!C262</f>
        <v>0</v>
      </c>
      <c r="D260">
        <f t="shared" si="10"/>
        <v>0</v>
      </c>
      <c r="E260" t="str">
        <f t="shared" si="11"/>
        <v>X</v>
      </c>
    </row>
    <row r="261" spans="1:5" x14ac:dyDescent="0.3">
      <c r="A261">
        <f>vendors!B263</f>
        <v>0</v>
      </c>
      <c r="B261" s="5">
        <f>vendors!C263</f>
        <v>0</v>
      </c>
      <c r="D261">
        <f t="shared" si="10"/>
        <v>0</v>
      </c>
      <c r="E261" t="str">
        <f t="shared" si="11"/>
        <v>X</v>
      </c>
    </row>
    <row r="262" spans="1:5" x14ac:dyDescent="0.3">
      <c r="A262">
        <f>vendors!B264</f>
        <v>0</v>
      </c>
      <c r="B262" s="5">
        <f>vendors!C264</f>
        <v>0</v>
      </c>
      <c r="D262">
        <f t="shared" si="10"/>
        <v>0</v>
      </c>
      <c r="E262" t="str">
        <f t="shared" si="11"/>
        <v>X</v>
      </c>
    </row>
    <row r="263" spans="1:5" x14ac:dyDescent="0.3">
      <c r="A263">
        <f>vendors!B265</f>
        <v>0</v>
      </c>
      <c r="B263" s="5">
        <f>vendors!C265</f>
        <v>0</v>
      </c>
      <c r="D263">
        <f t="shared" si="10"/>
        <v>0</v>
      </c>
      <c r="E263" t="str">
        <f t="shared" si="11"/>
        <v>X</v>
      </c>
    </row>
    <row r="264" spans="1:5" x14ac:dyDescent="0.3">
      <c r="A264">
        <f>vendors!B266</f>
        <v>0</v>
      </c>
      <c r="B264" s="5">
        <f>vendors!C266</f>
        <v>0</v>
      </c>
      <c r="D264">
        <f t="shared" si="10"/>
        <v>0</v>
      </c>
      <c r="E264" t="str">
        <f t="shared" si="11"/>
        <v>X</v>
      </c>
    </row>
    <row r="265" spans="1:5" x14ac:dyDescent="0.3">
      <c r="A265">
        <f>vendors!B267</f>
        <v>0</v>
      </c>
      <c r="B265" s="5">
        <f>vendors!C267</f>
        <v>0</v>
      </c>
      <c r="D265">
        <f t="shared" si="10"/>
        <v>0</v>
      </c>
      <c r="E265" t="str">
        <f t="shared" si="11"/>
        <v>X</v>
      </c>
    </row>
    <row r="266" spans="1:5" x14ac:dyDescent="0.3">
      <c r="A266">
        <f>vendors!B268</f>
        <v>0</v>
      </c>
      <c r="B266" s="5">
        <f>vendors!C268</f>
        <v>0</v>
      </c>
      <c r="D266">
        <f t="shared" si="10"/>
        <v>0</v>
      </c>
      <c r="E266" t="str">
        <f t="shared" si="11"/>
        <v>X</v>
      </c>
    </row>
    <row r="267" spans="1:5" x14ac:dyDescent="0.3">
      <c r="A267">
        <f>vendors!B269</f>
        <v>0</v>
      </c>
      <c r="B267" s="5">
        <f>vendors!C269</f>
        <v>0</v>
      </c>
      <c r="D267">
        <f t="shared" si="10"/>
        <v>0</v>
      </c>
      <c r="E267" t="str">
        <f t="shared" si="11"/>
        <v>X</v>
      </c>
    </row>
    <row r="268" spans="1:5" x14ac:dyDescent="0.3">
      <c r="A268">
        <f>vendors!B270</f>
        <v>0</v>
      </c>
      <c r="B268" s="5">
        <f>vendors!C270</f>
        <v>0</v>
      </c>
      <c r="D268">
        <f t="shared" si="10"/>
        <v>0</v>
      </c>
      <c r="E268" t="str">
        <f t="shared" si="11"/>
        <v>X</v>
      </c>
    </row>
    <row r="269" spans="1:5" x14ac:dyDescent="0.3">
      <c r="A269">
        <f>vendors!B271</f>
        <v>0</v>
      </c>
      <c r="B269" s="5">
        <f>vendors!C271</f>
        <v>0</v>
      </c>
      <c r="D269">
        <f t="shared" si="10"/>
        <v>0</v>
      </c>
      <c r="E269" t="str">
        <f t="shared" si="11"/>
        <v>X</v>
      </c>
    </row>
    <row r="270" spans="1:5" x14ac:dyDescent="0.3">
      <c r="A270">
        <f>vendors!B272</f>
        <v>0</v>
      </c>
      <c r="B270" s="5">
        <f>vendors!C272</f>
        <v>0</v>
      </c>
      <c r="D270">
        <f t="shared" si="10"/>
        <v>0</v>
      </c>
      <c r="E270" t="str">
        <f t="shared" si="11"/>
        <v>X</v>
      </c>
    </row>
    <row r="271" spans="1:5" x14ac:dyDescent="0.3">
      <c r="A271">
        <f>vendors!B273</f>
        <v>0</v>
      </c>
      <c r="B271" s="5">
        <f>vendors!C273</f>
        <v>0</v>
      </c>
      <c r="D271">
        <f t="shared" si="10"/>
        <v>0</v>
      </c>
      <c r="E271" t="str">
        <f t="shared" si="11"/>
        <v>X</v>
      </c>
    </row>
    <row r="272" spans="1:5" x14ac:dyDescent="0.3">
      <c r="A272">
        <f>vendors!B274</f>
        <v>0</v>
      </c>
      <c r="B272" s="5">
        <f>vendors!C274</f>
        <v>0</v>
      </c>
      <c r="D272">
        <f t="shared" si="10"/>
        <v>0</v>
      </c>
      <c r="E272" t="str">
        <f t="shared" si="11"/>
        <v>X</v>
      </c>
    </row>
    <row r="273" spans="1:5" x14ac:dyDescent="0.3">
      <c r="A273">
        <f>vendors!B275</f>
        <v>0</v>
      </c>
      <c r="B273" s="5">
        <f>vendors!C275</f>
        <v>0</v>
      </c>
      <c r="D273">
        <f t="shared" si="10"/>
        <v>0</v>
      </c>
      <c r="E273" t="str">
        <f t="shared" si="11"/>
        <v>X</v>
      </c>
    </row>
    <row r="274" spans="1:5" x14ac:dyDescent="0.3">
      <c r="A274">
        <f>vendors!B276</f>
        <v>0</v>
      </c>
      <c r="B274" s="5">
        <f>vendors!C276</f>
        <v>0</v>
      </c>
      <c r="D274">
        <f t="shared" si="10"/>
        <v>0</v>
      </c>
      <c r="E274" t="str">
        <f t="shared" si="11"/>
        <v>X</v>
      </c>
    </row>
    <row r="275" spans="1:5" x14ac:dyDescent="0.3">
      <c r="A275">
        <f>vendors!B277</f>
        <v>0</v>
      </c>
      <c r="B275" s="5">
        <f>vendors!C277</f>
        <v>0</v>
      </c>
      <c r="D275">
        <f t="shared" si="10"/>
        <v>0</v>
      </c>
      <c r="E275" t="str">
        <f t="shared" si="11"/>
        <v>X</v>
      </c>
    </row>
    <row r="276" spans="1:5" x14ac:dyDescent="0.3">
      <c r="A276">
        <f>vendors!B278</f>
        <v>0</v>
      </c>
      <c r="B276" s="5">
        <f>vendors!C278</f>
        <v>0</v>
      </c>
      <c r="D276">
        <f t="shared" si="10"/>
        <v>0</v>
      </c>
      <c r="E276" t="str">
        <f t="shared" si="11"/>
        <v>X</v>
      </c>
    </row>
    <row r="277" spans="1:5" x14ac:dyDescent="0.3">
      <c r="A277">
        <f>vendors!B279</f>
        <v>0</v>
      </c>
      <c r="B277" s="5">
        <f>vendors!C279</f>
        <v>0</v>
      </c>
      <c r="D277">
        <f t="shared" si="10"/>
        <v>0</v>
      </c>
      <c r="E277" t="str">
        <f t="shared" si="11"/>
        <v>X</v>
      </c>
    </row>
    <row r="278" spans="1:5" x14ac:dyDescent="0.3">
      <c r="A278">
        <f>vendors!B280</f>
        <v>0</v>
      </c>
      <c r="B278" s="5">
        <f>vendors!C280</f>
        <v>0</v>
      </c>
      <c r="D278">
        <f t="shared" si="10"/>
        <v>0</v>
      </c>
      <c r="E278" t="str">
        <f t="shared" si="11"/>
        <v>X</v>
      </c>
    </row>
    <row r="279" spans="1:5" x14ac:dyDescent="0.3">
      <c r="A279">
        <f>vendors!B281</f>
        <v>0</v>
      </c>
      <c r="B279" s="5">
        <f>vendors!C281</f>
        <v>0</v>
      </c>
      <c r="D279">
        <f t="shared" si="10"/>
        <v>0</v>
      </c>
      <c r="E279" t="str">
        <f t="shared" si="11"/>
        <v>X</v>
      </c>
    </row>
    <row r="280" spans="1:5" x14ac:dyDescent="0.3">
      <c r="A280">
        <f>vendors!B282</f>
        <v>0</v>
      </c>
      <c r="B280" s="5">
        <f>vendors!C282</f>
        <v>0</v>
      </c>
      <c r="D280">
        <f t="shared" si="10"/>
        <v>0</v>
      </c>
      <c r="E280" t="str">
        <f t="shared" si="11"/>
        <v>X</v>
      </c>
    </row>
    <row r="281" spans="1:5" x14ac:dyDescent="0.3">
      <c r="A281">
        <f>vendors!B283</f>
        <v>0</v>
      </c>
      <c r="B281" s="5">
        <f>vendors!C283</f>
        <v>0</v>
      </c>
      <c r="D281">
        <f t="shared" si="10"/>
        <v>0</v>
      </c>
      <c r="E281" t="str">
        <f t="shared" si="11"/>
        <v>X</v>
      </c>
    </row>
    <row r="282" spans="1:5" x14ac:dyDescent="0.3">
      <c r="A282">
        <f>vendors!B284</f>
        <v>0</v>
      </c>
      <c r="B282" s="5">
        <f>vendors!C284</f>
        <v>0</v>
      </c>
      <c r="D282">
        <f t="shared" si="10"/>
        <v>0</v>
      </c>
      <c r="E282" t="str">
        <f t="shared" si="11"/>
        <v>X</v>
      </c>
    </row>
    <row r="283" spans="1:5" x14ac:dyDescent="0.3">
      <c r="A283">
        <f>vendors!B285</f>
        <v>0</v>
      </c>
      <c r="B283" s="5">
        <f>vendors!C285</f>
        <v>0</v>
      </c>
      <c r="D283">
        <f t="shared" si="10"/>
        <v>0</v>
      </c>
      <c r="E283" t="str">
        <f t="shared" si="11"/>
        <v>X</v>
      </c>
    </row>
    <row r="284" spans="1:5" x14ac:dyDescent="0.3">
      <c r="A284">
        <f>vendors!B286</f>
        <v>0</v>
      </c>
      <c r="B284" s="5">
        <f>vendors!C286</f>
        <v>0</v>
      </c>
      <c r="D284">
        <f t="shared" si="10"/>
        <v>0</v>
      </c>
      <c r="E284" t="str">
        <f t="shared" si="11"/>
        <v>X</v>
      </c>
    </row>
    <row r="285" spans="1:5" x14ac:dyDescent="0.3">
      <c r="A285">
        <f>vendors!B287</f>
        <v>0</v>
      </c>
      <c r="B285" s="5">
        <f>vendors!C287</f>
        <v>0</v>
      </c>
      <c r="D285">
        <f t="shared" si="10"/>
        <v>0</v>
      </c>
      <c r="E285" t="str">
        <f t="shared" si="11"/>
        <v>X</v>
      </c>
    </row>
    <row r="286" spans="1:5" x14ac:dyDescent="0.3">
      <c r="A286">
        <f>vendors!B288</f>
        <v>0</v>
      </c>
      <c r="B286" s="5">
        <f>vendors!C288</f>
        <v>0</v>
      </c>
      <c r="D286">
        <f t="shared" si="10"/>
        <v>0</v>
      </c>
      <c r="E286" t="str">
        <f t="shared" si="11"/>
        <v>X</v>
      </c>
    </row>
    <row r="287" spans="1:5" x14ac:dyDescent="0.3">
      <c r="A287">
        <f>vendors!B289</f>
        <v>0</v>
      </c>
      <c r="B287" s="5">
        <f>vendors!C289</f>
        <v>0</v>
      </c>
      <c r="D287">
        <f t="shared" si="10"/>
        <v>0</v>
      </c>
      <c r="E287" t="str">
        <f t="shared" si="11"/>
        <v>X</v>
      </c>
    </row>
    <row r="288" spans="1:5" x14ac:dyDescent="0.3">
      <c r="A288">
        <f>vendors!B290</f>
        <v>0</v>
      </c>
      <c r="B288" s="5">
        <f>vendors!C290</f>
        <v>0</v>
      </c>
      <c r="D288">
        <f t="shared" si="10"/>
        <v>0</v>
      </c>
      <c r="E288" t="str">
        <f t="shared" si="11"/>
        <v>X</v>
      </c>
    </row>
    <row r="289" spans="1:5" x14ac:dyDescent="0.3">
      <c r="A289">
        <f>vendors!B291</f>
        <v>0</v>
      </c>
      <c r="B289" s="5">
        <f>vendors!C291</f>
        <v>0</v>
      </c>
      <c r="D289">
        <f t="shared" si="10"/>
        <v>0</v>
      </c>
      <c r="E289" t="str">
        <f t="shared" si="11"/>
        <v>X</v>
      </c>
    </row>
    <row r="290" spans="1:5" x14ac:dyDescent="0.3">
      <c r="A290">
        <f>vendors!B292</f>
        <v>0</v>
      </c>
      <c r="B290" s="5">
        <f>vendors!C292</f>
        <v>0</v>
      </c>
      <c r="D290">
        <f t="shared" si="10"/>
        <v>0</v>
      </c>
      <c r="E290" t="str">
        <f t="shared" si="11"/>
        <v>X</v>
      </c>
    </row>
    <row r="291" spans="1:5" x14ac:dyDescent="0.3">
      <c r="A291">
        <f>vendors!B293</f>
        <v>0</v>
      </c>
      <c r="B291" s="5">
        <f>vendors!C293</f>
        <v>0</v>
      </c>
      <c r="D291">
        <f t="shared" si="10"/>
        <v>0</v>
      </c>
      <c r="E291" t="str">
        <f t="shared" si="11"/>
        <v>X</v>
      </c>
    </row>
    <row r="292" spans="1:5" x14ac:dyDescent="0.3">
      <c r="A292">
        <f>vendors!B294</f>
        <v>0</v>
      </c>
      <c r="B292" s="5">
        <f>vendors!C294</f>
        <v>0</v>
      </c>
      <c r="D292">
        <f t="shared" si="10"/>
        <v>0</v>
      </c>
      <c r="E292" t="str">
        <f t="shared" si="11"/>
        <v>X</v>
      </c>
    </row>
    <row r="293" spans="1:5" x14ac:dyDescent="0.3">
      <c r="A293">
        <f>vendors!B295</f>
        <v>0</v>
      </c>
      <c r="B293" s="5">
        <f>vendors!C295</f>
        <v>0</v>
      </c>
      <c r="D293">
        <f t="shared" si="10"/>
        <v>0</v>
      </c>
      <c r="E293" t="str">
        <f t="shared" si="11"/>
        <v>X</v>
      </c>
    </row>
    <row r="294" spans="1:5" x14ac:dyDescent="0.3">
      <c r="A294">
        <f>vendors!B296</f>
        <v>0</v>
      </c>
      <c r="B294" s="5">
        <f>vendors!C296</f>
        <v>0</v>
      </c>
      <c r="D294">
        <f t="shared" si="10"/>
        <v>0</v>
      </c>
      <c r="E294" t="str">
        <f t="shared" si="11"/>
        <v>X</v>
      </c>
    </row>
    <row r="295" spans="1:5" x14ac:dyDescent="0.3">
      <c r="A295">
        <f>vendors!B297</f>
        <v>0</v>
      </c>
      <c r="B295" s="5">
        <f>vendors!C297</f>
        <v>0</v>
      </c>
      <c r="D295">
        <f t="shared" si="10"/>
        <v>0</v>
      </c>
      <c r="E295" t="str">
        <f t="shared" si="11"/>
        <v>X</v>
      </c>
    </row>
    <row r="296" spans="1:5" x14ac:dyDescent="0.3">
      <c r="A296">
        <f>vendors!B298</f>
        <v>0</v>
      </c>
      <c r="B296" s="5">
        <f>vendors!C298</f>
        <v>0</v>
      </c>
      <c r="D296">
        <f t="shared" si="10"/>
        <v>0</v>
      </c>
      <c r="E296" t="str">
        <f t="shared" si="11"/>
        <v>X</v>
      </c>
    </row>
    <row r="297" spans="1:5" x14ac:dyDescent="0.3">
      <c r="A297">
        <f>vendors!B299</f>
        <v>0</v>
      </c>
      <c r="B297" s="5">
        <f>vendors!C299</f>
        <v>0</v>
      </c>
      <c r="D297">
        <f t="shared" si="10"/>
        <v>0</v>
      </c>
      <c r="E297" t="str">
        <f t="shared" si="11"/>
        <v>X</v>
      </c>
    </row>
    <row r="298" spans="1:5" x14ac:dyDescent="0.3">
      <c r="A298">
        <f>vendors!B300</f>
        <v>0</v>
      </c>
      <c r="B298" s="5">
        <f>vendors!C300</f>
        <v>0</v>
      </c>
      <c r="D298">
        <f t="shared" si="10"/>
        <v>0</v>
      </c>
      <c r="E298" t="str">
        <f t="shared" si="11"/>
        <v>X</v>
      </c>
    </row>
    <row r="299" spans="1:5" x14ac:dyDescent="0.3">
      <c r="A299">
        <f>vendors!B301</f>
        <v>0</v>
      </c>
      <c r="B299" s="5">
        <f>vendors!C301</f>
        <v>0</v>
      </c>
      <c r="D299">
        <f t="shared" si="10"/>
        <v>0</v>
      </c>
      <c r="E299" t="str">
        <f t="shared" si="11"/>
        <v>X</v>
      </c>
    </row>
    <row r="300" spans="1:5" x14ac:dyDescent="0.3">
      <c r="A300">
        <f>vendors!B302</f>
        <v>0</v>
      </c>
      <c r="B300" s="5">
        <f>vendors!C302</f>
        <v>0</v>
      </c>
      <c r="D300">
        <f t="shared" si="10"/>
        <v>0</v>
      </c>
      <c r="E300" t="str">
        <f t="shared" si="11"/>
        <v>X</v>
      </c>
    </row>
    <row r="301" spans="1:5" x14ac:dyDescent="0.3">
      <c r="A301">
        <f>vendors!B303</f>
        <v>0</v>
      </c>
      <c r="B301" s="5">
        <f>vendors!C303</f>
        <v>0</v>
      </c>
      <c r="D301">
        <f t="shared" si="10"/>
        <v>0</v>
      </c>
      <c r="E301" t="str">
        <f t="shared" si="11"/>
        <v>X</v>
      </c>
    </row>
    <row r="302" spans="1:5" x14ac:dyDescent="0.3">
      <c r="A302">
        <f>vendors!B304</f>
        <v>0</v>
      </c>
      <c r="B302" s="5">
        <f>vendors!C304</f>
        <v>0</v>
      </c>
      <c r="D302">
        <f t="shared" si="10"/>
        <v>0</v>
      </c>
      <c r="E302" t="str">
        <f t="shared" si="11"/>
        <v>X</v>
      </c>
    </row>
    <row r="303" spans="1:5" x14ac:dyDescent="0.3">
      <c r="A303">
        <f>vendors!B305</f>
        <v>0</v>
      </c>
      <c r="B303" s="5">
        <f>vendors!C305</f>
        <v>0</v>
      </c>
      <c r="D303">
        <f t="shared" si="10"/>
        <v>0</v>
      </c>
      <c r="E303" t="str">
        <f t="shared" si="11"/>
        <v>X</v>
      </c>
    </row>
    <row r="304" spans="1:5" x14ac:dyDescent="0.3">
      <c r="A304">
        <f>vendors!B306</f>
        <v>0</v>
      </c>
      <c r="B304" s="5">
        <f>vendors!C306</f>
        <v>0</v>
      </c>
      <c r="D304">
        <f t="shared" si="10"/>
        <v>0</v>
      </c>
      <c r="E304" t="str">
        <f t="shared" si="11"/>
        <v>X</v>
      </c>
    </row>
    <row r="305" spans="1:5" x14ac:dyDescent="0.3">
      <c r="A305">
        <f>vendors!B307</f>
        <v>0</v>
      </c>
      <c r="B305" s="5">
        <f>vendors!C307</f>
        <v>0</v>
      </c>
      <c r="D305">
        <f t="shared" si="10"/>
        <v>0</v>
      </c>
      <c r="E305" t="str">
        <f t="shared" si="11"/>
        <v>X</v>
      </c>
    </row>
    <row r="306" spans="1:5" x14ac:dyDescent="0.3">
      <c r="A306">
        <f>vendors!B308</f>
        <v>0</v>
      </c>
      <c r="B306" s="5">
        <f>vendors!C308</f>
        <v>0</v>
      </c>
      <c r="D306">
        <f t="shared" si="10"/>
        <v>0</v>
      </c>
      <c r="E306" t="str">
        <f t="shared" si="11"/>
        <v>X</v>
      </c>
    </row>
    <row r="307" spans="1:5" x14ac:dyDescent="0.3">
      <c r="A307">
        <f>vendors!B309</f>
        <v>0</v>
      </c>
      <c r="B307" s="5">
        <f>vendors!C309</f>
        <v>0</v>
      </c>
      <c r="D307">
        <f t="shared" si="10"/>
        <v>0</v>
      </c>
      <c r="E307" t="str">
        <f t="shared" si="11"/>
        <v>X</v>
      </c>
    </row>
    <row r="308" spans="1:5" x14ac:dyDescent="0.3">
      <c r="A308">
        <f>vendors!B310</f>
        <v>0</v>
      </c>
      <c r="B308" s="5">
        <f>vendors!C310</f>
        <v>0</v>
      </c>
      <c r="D308">
        <f t="shared" si="10"/>
        <v>0</v>
      </c>
      <c r="E308" t="str">
        <f t="shared" si="11"/>
        <v>X</v>
      </c>
    </row>
    <row r="309" spans="1:5" x14ac:dyDescent="0.3">
      <c r="A309">
        <f>vendors!B311</f>
        <v>0</v>
      </c>
      <c r="B309" s="5">
        <f>vendors!C311</f>
        <v>0</v>
      </c>
      <c r="D309">
        <f t="shared" si="10"/>
        <v>0</v>
      </c>
      <c r="E309" t="str">
        <f t="shared" si="11"/>
        <v>X</v>
      </c>
    </row>
    <row r="310" spans="1:5" x14ac:dyDescent="0.3">
      <c r="A310">
        <f>vendors!B312</f>
        <v>0</v>
      </c>
      <c r="B310" s="5">
        <f>vendors!C312</f>
        <v>0</v>
      </c>
      <c r="D310">
        <f t="shared" si="10"/>
        <v>0</v>
      </c>
      <c r="E310" t="str">
        <f t="shared" si="11"/>
        <v>X</v>
      </c>
    </row>
    <row r="311" spans="1:5" x14ac:dyDescent="0.3">
      <c r="A311">
        <f>vendors!B313</f>
        <v>0</v>
      </c>
      <c r="B311" s="5">
        <f>vendors!C313</f>
        <v>0</v>
      </c>
      <c r="D311">
        <f t="shared" si="10"/>
        <v>0</v>
      </c>
      <c r="E311" t="str">
        <f t="shared" si="11"/>
        <v>X</v>
      </c>
    </row>
    <row r="312" spans="1:5" x14ac:dyDescent="0.3">
      <c r="A312">
        <f>vendors!B314</f>
        <v>0</v>
      </c>
      <c r="B312" s="5">
        <f>vendors!C314</f>
        <v>0</v>
      </c>
      <c r="D312">
        <f t="shared" si="10"/>
        <v>0</v>
      </c>
      <c r="E312" t="str">
        <f t="shared" si="11"/>
        <v>X</v>
      </c>
    </row>
    <row r="313" spans="1:5" x14ac:dyDescent="0.3">
      <c r="A313">
        <f>vendors!B315</f>
        <v>0</v>
      </c>
      <c r="B313" s="5">
        <f>vendors!C315</f>
        <v>0</v>
      </c>
      <c r="D313">
        <f t="shared" si="10"/>
        <v>0</v>
      </c>
      <c r="E313" t="str">
        <f t="shared" si="11"/>
        <v>X</v>
      </c>
    </row>
    <row r="314" spans="1:5" x14ac:dyDescent="0.3">
      <c r="A314">
        <f>vendors!B316</f>
        <v>0</v>
      </c>
      <c r="B314" s="5">
        <f>vendors!C316</f>
        <v>0</v>
      </c>
      <c r="D314">
        <f t="shared" si="10"/>
        <v>0</v>
      </c>
      <c r="E314" t="str">
        <f t="shared" si="11"/>
        <v>X</v>
      </c>
    </row>
    <row r="315" spans="1:5" x14ac:dyDescent="0.3">
      <c r="A315">
        <f>vendors!B317</f>
        <v>0</v>
      </c>
      <c r="B315" s="5">
        <f>vendors!C317</f>
        <v>0</v>
      </c>
      <c r="D315">
        <f t="shared" si="10"/>
        <v>0</v>
      </c>
      <c r="E315" t="str">
        <f t="shared" si="11"/>
        <v>X</v>
      </c>
    </row>
    <row r="316" spans="1:5" x14ac:dyDescent="0.3">
      <c r="A316">
        <f>vendors!B318</f>
        <v>0</v>
      </c>
      <c r="B316" s="5">
        <f>vendors!C318</f>
        <v>0</v>
      </c>
      <c r="D316">
        <f t="shared" si="10"/>
        <v>0</v>
      </c>
      <c r="E316" t="str">
        <f t="shared" si="11"/>
        <v>X</v>
      </c>
    </row>
    <row r="317" spans="1:5" x14ac:dyDescent="0.3">
      <c r="A317">
        <f>vendors!B319</f>
        <v>0</v>
      </c>
      <c r="B317" s="5">
        <f>vendors!C319</f>
        <v>0</v>
      </c>
      <c r="D317">
        <f t="shared" si="10"/>
        <v>0</v>
      </c>
      <c r="E317" t="str">
        <f t="shared" si="11"/>
        <v>X</v>
      </c>
    </row>
    <row r="318" spans="1:5" x14ac:dyDescent="0.3">
      <c r="A318">
        <f>vendors!B320</f>
        <v>0</v>
      </c>
      <c r="B318" s="5">
        <f>vendors!C320</f>
        <v>0</v>
      </c>
      <c r="D318">
        <f t="shared" si="10"/>
        <v>0</v>
      </c>
      <c r="E318" t="str">
        <f t="shared" si="11"/>
        <v>X</v>
      </c>
    </row>
    <row r="319" spans="1:5" x14ac:dyDescent="0.3">
      <c r="A319">
        <f>vendors!B321</f>
        <v>0</v>
      </c>
      <c r="B319" s="5">
        <f>vendors!C321</f>
        <v>0</v>
      </c>
      <c r="D319">
        <f t="shared" si="10"/>
        <v>0</v>
      </c>
      <c r="E319" t="str">
        <f t="shared" si="11"/>
        <v>X</v>
      </c>
    </row>
    <row r="320" spans="1:5" x14ac:dyDescent="0.3">
      <c r="A320">
        <f>vendors!B322</f>
        <v>0</v>
      </c>
      <c r="B320" s="5">
        <f>vendors!C322</f>
        <v>0</v>
      </c>
      <c r="D320">
        <f t="shared" si="10"/>
        <v>0</v>
      </c>
      <c r="E320" t="str">
        <f t="shared" si="11"/>
        <v>X</v>
      </c>
    </row>
    <row r="321" spans="1:5" x14ac:dyDescent="0.3">
      <c r="A321">
        <f>vendors!B323</f>
        <v>0</v>
      </c>
      <c r="B321" s="5">
        <f>vendors!C323</f>
        <v>0</v>
      </c>
      <c r="D321">
        <f t="shared" si="10"/>
        <v>0</v>
      </c>
      <c r="E321" t="str">
        <f t="shared" si="11"/>
        <v>X</v>
      </c>
    </row>
    <row r="322" spans="1:5" x14ac:dyDescent="0.3">
      <c r="A322">
        <f>vendors!B324</f>
        <v>0</v>
      </c>
      <c r="B322" s="5">
        <f>vendors!C324</f>
        <v>0</v>
      </c>
      <c r="D322">
        <f t="shared" si="10"/>
        <v>0</v>
      </c>
      <c r="E322" t="str">
        <f t="shared" si="11"/>
        <v>X</v>
      </c>
    </row>
    <row r="323" spans="1:5" x14ac:dyDescent="0.3">
      <c r="A323">
        <f>vendors!B325</f>
        <v>0</v>
      </c>
      <c r="B323" s="5">
        <f>vendors!C325</f>
        <v>0</v>
      </c>
      <c r="D323">
        <f t="shared" ref="D323:D386" si="12">C323*B323</f>
        <v>0</v>
      </c>
      <c r="E323" t="str">
        <f t="shared" ref="E323:E386" si="13">IF(C323&lt;500, "X", "")</f>
        <v>X</v>
      </c>
    </row>
    <row r="324" spans="1:5" x14ac:dyDescent="0.3">
      <c r="A324">
        <f>vendors!B326</f>
        <v>0</v>
      </c>
      <c r="B324" s="5">
        <f>vendors!C326</f>
        <v>0</v>
      </c>
      <c r="D324">
        <f t="shared" si="12"/>
        <v>0</v>
      </c>
      <c r="E324" t="str">
        <f t="shared" si="13"/>
        <v>X</v>
      </c>
    </row>
    <row r="325" spans="1:5" x14ac:dyDescent="0.3">
      <c r="A325">
        <f>vendors!B327</f>
        <v>0</v>
      </c>
      <c r="B325" s="5">
        <f>vendors!C327</f>
        <v>0</v>
      </c>
      <c r="D325">
        <f t="shared" si="12"/>
        <v>0</v>
      </c>
      <c r="E325" t="str">
        <f t="shared" si="13"/>
        <v>X</v>
      </c>
    </row>
    <row r="326" spans="1:5" x14ac:dyDescent="0.3">
      <c r="A326">
        <f>vendors!B328</f>
        <v>0</v>
      </c>
      <c r="B326" s="5">
        <f>vendors!C328</f>
        <v>0</v>
      </c>
      <c r="D326">
        <f t="shared" si="12"/>
        <v>0</v>
      </c>
      <c r="E326" t="str">
        <f t="shared" si="13"/>
        <v>X</v>
      </c>
    </row>
    <row r="327" spans="1:5" x14ac:dyDescent="0.3">
      <c r="A327">
        <f>vendors!B329</f>
        <v>0</v>
      </c>
      <c r="B327" s="5">
        <f>vendors!C329</f>
        <v>0</v>
      </c>
      <c r="D327">
        <f t="shared" si="12"/>
        <v>0</v>
      </c>
      <c r="E327" t="str">
        <f t="shared" si="13"/>
        <v>X</v>
      </c>
    </row>
    <row r="328" spans="1:5" x14ac:dyDescent="0.3">
      <c r="A328">
        <f>vendors!B330</f>
        <v>0</v>
      </c>
      <c r="B328" s="5">
        <f>vendors!C330</f>
        <v>0</v>
      </c>
      <c r="D328">
        <f t="shared" si="12"/>
        <v>0</v>
      </c>
      <c r="E328" t="str">
        <f t="shared" si="13"/>
        <v>X</v>
      </c>
    </row>
    <row r="329" spans="1:5" x14ac:dyDescent="0.3">
      <c r="A329">
        <f>vendors!B331</f>
        <v>0</v>
      </c>
      <c r="B329" s="5">
        <f>vendors!C331</f>
        <v>0</v>
      </c>
      <c r="D329">
        <f t="shared" si="12"/>
        <v>0</v>
      </c>
      <c r="E329" t="str">
        <f t="shared" si="13"/>
        <v>X</v>
      </c>
    </row>
    <row r="330" spans="1:5" x14ac:dyDescent="0.3">
      <c r="A330">
        <f>vendors!B332</f>
        <v>0</v>
      </c>
      <c r="B330" s="5">
        <f>vendors!C332</f>
        <v>0</v>
      </c>
      <c r="D330">
        <f t="shared" si="12"/>
        <v>0</v>
      </c>
      <c r="E330" t="str">
        <f t="shared" si="13"/>
        <v>X</v>
      </c>
    </row>
    <row r="331" spans="1:5" x14ac:dyDescent="0.3">
      <c r="A331">
        <f>vendors!B333</f>
        <v>0</v>
      </c>
      <c r="B331" s="5">
        <f>vendors!C333</f>
        <v>0</v>
      </c>
      <c r="D331">
        <f t="shared" si="12"/>
        <v>0</v>
      </c>
      <c r="E331" t="str">
        <f t="shared" si="13"/>
        <v>X</v>
      </c>
    </row>
    <row r="332" spans="1:5" x14ac:dyDescent="0.3">
      <c r="A332">
        <f>vendors!B334</f>
        <v>0</v>
      </c>
      <c r="B332" s="5">
        <f>vendors!C334</f>
        <v>0</v>
      </c>
      <c r="D332">
        <f t="shared" si="12"/>
        <v>0</v>
      </c>
      <c r="E332" t="str">
        <f t="shared" si="13"/>
        <v>X</v>
      </c>
    </row>
    <row r="333" spans="1:5" x14ac:dyDescent="0.3">
      <c r="A333">
        <f>vendors!B335</f>
        <v>0</v>
      </c>
      <c r="B333" s="5">
        <f>vendors!C335</f>
        <v>0</v>
      </c>
      <c r="D333">
        <f t="shared" si="12"/>
        <v>0</v>
      </c>
      <c r="E333" t="str">
        <f t="shared" si="13"/>
        <v>X</v>
      </c>
    </row>
    <row r="334" spans="1:5" x14ac:dyDescent="0.3">
      <c r="A334">
        <f>vendors!B336</f>
        <v>0</v>
      </c>
      <c r="B334" s="5">
        <f>vendors!C336</f>
        <v>0</v>
      </c>
      <c r="D334">
        <f t="shared" si="12"/>
        <v>0</v>
      </c>
      <c r="E334" t="str">
        <f t="shared" si="13"/>
        <v>X</v>
      </c>
    </row>
    <row r="335" spans="1:5" x14ac:dyDescent="0.3">
      <c r="A335">
        <f>vendors!B337</f>
        <v>0</v>
      </c>
      <c r="B335" s="5">
        <f>vendors!C337</f>
        <v>0</v>
      </c>
      <c r="D335">
        <f t="shared" si="12"/>
        <v>0</v>
      </c>
      <c r="E335" t="str">
        <f t="shared" si="13"/>
        <v>X</v>
      </c>
    </row>
    <row r="336" spans="1:5" x14ac:dyDescent="0.3">
      <c r="A336">
        <f>vendors!B338</f>
        <v>0</v>
      </c>
      <c r="B336" s="5">
        <f>vendors!C338</f>
        <v>0</v>
      </c>
      <c r="D336">
        <f t="shared" si="12"/>
        <v>0</v>
      </c>
      <c r="E336" t="str">
        <f t="shared" si="13"/>
        <v>X</v>
      </c>
    </row>
    <row r="337" spans="1:5" x14ac:dyDescent="0.3">
      <c r="A337">
        <f>vendors!B339</f>
        <v>0</v>
      </c>
      <c r="B337" s="5">
        <f>vendors!C339</f>
        <v>0</v>
      </c>
      <c r="D337">
        <f t="shared" si="12"/>
        <v>0</v>
      </c>
      <c r="E337" t="str">
        <f t="shared" si="13"/>
        <v>X</v>
      </c>
    </row>
    <row r="338" spans="1:5" x14ac:dyDescent="0.3">
      <c r="A338">
        <f>vendors!B340</f>
        <v>0</v>
      </c>
      <c r="B338" s="5">
        <f>vendors!C340</f>
        <v>0</v>
      </c>
      <c r="D338">
        <f t="shared" si="12"/>
        <v>0</v>
      </c>
      <c r="E338" t="str">
        <f t="shared" si="13"/>
        <v>X</v>
      </c>
    </row>
    <row r="339" spans="1:5" x14ac:dyDescent="0.3">
      <c r="A339">
        <f>vendors!B341</f>
        <v>0</v>
      </c>
      <c r="B339" s="5">
        <f>vendors!C341</f>
        <v>0</v>
      </c>
      <c r="D339">
        <f t="shared" si="12"/>
        <v>0</v>
      </c>
      <c r="E339" t="str">
        <f t="shared" si="13"/>
        <v>X</v>
      </c>
    </row>
    <row r="340" spans="1:5" x14ac:dyDescent="0.3">
      <c r="A340">
        <f>vendors!B342</f>
        <v>0</v>
      </c>
      <c r="B340" s="5">
        <f>vendors!C342</f>
        <v>0</v>
      </c>
      <c r="D340">
        <f t="shared" si="12"/>
        <v>0</v>
      </c>
      <c r="E340" t="str">
        <f t="shared" si="13"/>
        <v>X</v>
      </c>
    </row>
    <row r="341" spans="1:5" x14ac:dyDescent="0.3">
      <c r="A341">
        <f>vendors!B343</f>
        <v>0</v>
      </c>
      <c r="B341" s="5">
        <f>vendors!C343</f>
        <v>0</v>
      </c>
      <c r="D341">
        <f t="shared" si="12"/>
        <v>0</v>
      </c>
      <c r="E341" t="str">
        <f t="shared" si="13"/>
        <v>X</v>
      </c>
    </row>
    <row r="342" spans="1:5" x14ac:dyDescent="0.3">
      <c r="A342">
        <f>vendors!B344</f>
        <v>0</v>
      </c>
      <c r="B342" s="5">
        <f>vendors!C344</f>
        <v>0</v>
      </c>
      <c r="D342">
        <f t="shared" si="12"/>
        <v>0</v>
      </c>
      <c r="E342" t="str">
        <f t="shared" si="13"/>
        <v>X</v>
      </c>
    </row>
    <row r="343" spans="1:5" x14ac:dyDescent="0.3">
      <c r="A343">
        <f>vendors!B345</f>
        <v>0</v>
      </c>
      <c r="B343" s="5">
        <f>vendors!C345</f>
        <v>0</v>
      </c>
      <c r="D343">
        <f t="shared" si="12"/>
        <v>0</v>
      </c>
      <c r="E343" t="str">
        <f t="shared" si="13"/>
        <v>X</v>
      </c>
    </row>
    <row r="344" spans="1:5" x14ac:dyDescent="0.3">
      <c r="A344">
        <f>vendors!B346</f>
        <v>0</v>
      </c>
      <c r="B344" s="5">
        <f>vendors!C346</f>
        <v>0</v>
      </c>
      <c r="D344">
        <f t="shared" si="12"/>
        <v>0</v>
      </c>
      <c r="E344" t="str">
        <f t="shared" si="13"/>
        <v>X</v>
      </c>
    </row>
    <row r="345" spans="1:5" x14ac:dyDescent="0.3">
      <c r="A345">
        <f>vendors!B347</f>
        <v>0</v>
      </c>
      <c r="B345" s="5">
        <f>vendors!C347</f>
        <v>0</v>
      </c>
      <c r="D345">
        <f t="shared" si="12"/>
        <v>0</v>
      </c>
      <c r="E345" t="str">
        <f t="shared" si="13"/>
        <v>X</v>
      </c>
    </row>
    <row r="346" spans="1:5" x14ac:dyDescent="0.3">
      <c r="A346">
        <f>vendors!B348</f>
        <v>0</v>
      </c>
      <c r="B346" s="5">
        <f>vendors!C348</f>
        <v>0</v>
      </c>
      <c r="D346">
        <f t="shared" si="12"/>
        <v>0</v>
      </c>
      <c r="E346" t="str">
        <f t="shared" si="13"/>
        <v>X</v>
      </c>
    </row>
    <row r="347" spans="1:5" x14ac:dyDescent="0.3">
      <c r="A347">
        <f>vendors!B349</f>
        <v>0</v>
      </c>
      <c r="B347" s="5">
        <f>vendors!C349</f>
        <v>0</v>
      </c>
      <c r="D347">
        <f t="shared" si="12"/>
        <v>0</v>
      </c>
      <c r="E347" t="str">
        <f t="shared" si="13"/>
        <v>X</v>
      </c>
    </row>
    <row r="348" spans="1:5" x14ac:dyDescent="0.3">
      <c r="A348">
        <f>vendors!B350</f>
        <v>0</v>
      </c>
      <c r="B348" s="5">
        <f>vendors!C350</f>
        <v>0</v>
      </c>
      <c r="D348">
        <f t="shared" si="12"/>
        <v>0</v>
      </c>
      <c r="E348" t="str">
        <f t="shared" si="13"/>
        <v>X</v>
      </c>
    </row>
    <row r="349" spans="1:5" x14ac:dyDescent="0.3">
      <c r="A349">
        <f>vendors!B351</f>
        <v>0</v>
      </c>
      <c r="B349" s="5">
        <f>vendors!C351</f>
        <v>0</v>
      </c>
      <c r="D349">
        <f t="shared" si="12"/>
        <v>0</v>
      </c>
      <c r="E349" t="str">
        <f t="shared" si="13"/>
        <v>X</v>
      </c>
    </row>
    <row r="350" spans="1:5" x14ac:dyDescent="0.3">
      <c r="A350">
        <f>vendors!B352</f>
        <v>0</v>
      </c>
      <c r="B350" s="5">
        <f>vendors!C352</f>
        <v>0</v>
      </c>
      <c r="D350">
        <f t="shared" si="12"/>
        <v>0</v>
      </c>
      <c r="E350" t="str">
        <f t="shared" si="13"/>
        <v>X</v>
      </c>
    </row>
    <row r="351" spans="1:5" x14ac:dyDescent="0.3">
      <c r="A351">
        <f>vendors!B353</f>
        <v>0</v>
      </c>
      <c r="B351" s="5">
        <f>vendors!C353</f>
        <v>0</v>
      </c>
      <c r="D351">
        <f t="shared" si="12"/>
        <v>0</v>
      </c>
      <c r="E351" t="str">
        <f t="shared" si="13"/>
        <v>X</v>
      </c>
    </row>
    <row r="352" spans="1:5" x14ac:dyDescent="0.3">
      <c r="A352">
        <f>vendors!B354</f>
        <v>0</v>
      </c>
      <c r="B352" s="5">
        <f>vendors!C354</f>
        <v>0</v>
      </c>
      <c r="D352">
        <f t="shared" si="12"/>
        <v>0</v>
      </c>
      <c r="E352" t="str">
        <f t="shared" si="13"/>
        <v>X</v>
      </c>
    </row>
    <row r="353" spans="1:5" x14ac:dyDescent="0.3">
      <c r="A353">
        <f>vendors!B355</f>
        <v>0</v>
      </c>
      <c r="B353" s="5">
        <f>vendors!C355</f>
        <v>0</v>
      </c>
      <c r="D353">
        <f t="shared" si="12"/>
        <v>0</v>
      </c>
      <c r="E353" t="str">
        <f t="shared" si="13"/>
        <v>X</v>
      </c>
    </row>
    <row r="354" spans="1:5" x14ac:dyDescent="0.3">
      <c r="A354">
        <f>vendors!B356</f>
        <v>0</v>
      </c>
      <c r="B354" s="5">
        <f>vendors!C356</f>
        <v>0</v>
      </c>
      <c r="D354">
        <f t="shared" si="12"/>
        <v>0</v>
      </c>
      <c r="E354" t="str">
        <f t="shared" si="13"/>
        <v>X</v>
      </c>
    </row>
    <row r="355" spans="1:5" x14ac:dyDescent="0.3">
      <c r="A355">
        <f>vendors!B357</f>
        <v>0</v>
      </c>
      <c r="B355" s="5">
        <f>vendors!C357</f>
        <v>0</v>
      </c>
      <c r="D355">
        <f t="shared" si="12"/>
        <v>0</v>
      </c>
      <c r="E355" t="str">
        <f t="shared" si="13"/>
        <v>X</v>
      </c>
    </row>
    <row r="356" spans="1:5" x14ac:dyDescent="0.3">
      <c r="A356">
        <f>vendors!B358</f>
        <v>0</v>
      </c>
      <c r="B356" s="5">
        <f>vendors!C358</f>
        <v>0</v>
      </c>
      <c r="D356">
        <f t="shared" si="12"/>
        <v>0</v>
      </c>
      <c r="E356" t="str">
        <f t="shared" si="13"/>
        <v>X</v>
      </c>
    </row>
    <row r="357" spans="1:5" x14ac:dyDescent="0.3">
      <c r="A357">
        <f>vendors!B359</f>
        <v>0</v>
      </c>
      <c r="B357" s="5">
        <f>vendors!C359</f>
        <v>0</v>
      </c>
      <c r="D357">
        <f t="shared" si="12"/>
        <v>0</v>
      </c>
      <c r="E357" t="str">
        <f t="shared" si="13"/>
        <v>X</v>
      </c>
    </row>
    <row r="358" spans="1:5" x14ac:dyDescent="0.3">
      <c r="A358">
        <f>vendors!B360</f>
        <v>0</v>
      </c>
      <c r="B358" s="5">
        <f>vendors!C360</f>
        <v>0</v>
      </c>
      <c r="D358">
        <f t="shared" si="12"/>
        <v>0</v>
      </c>
      <c r="E358" t="str">
        <f t="shared" si="13"/>
        <v>X</v>
      </c>
    </row>
    <row r="359" spans="1:5" x14ac:dyDescent="0.3">
      <c r="A359">
        <f>vendors!B361</f>
        <v>0</v>
      </c>
      <c r="B359" s="5">
        <f>vendors!C361</f>
        <v>0</v>
      </c>
      <c r="D359">
        <f t="shared" si="12"/>
        <v>0</v>
      </c>
      <c r="E359" t="str">
        <f t="shared" si="13"/>
        <v>X</v>
      </c>
    </row>
    <row r="360" spans="1:5" x14ac:dyDescent="0.3">
      <c r="A360">
        <f>vendors!B362</f>
        <v>0</v>
      </c>
      <c r="B360" s="5">
        <f>vendors!C362</f>
        <v>0</v>
      </c>
      <c r="D360">
        <f t="shared" si="12"/>
        <v>0</v>
      </c>
      <c r="E360" t="str">
        <f t="shared" si="13"/>
        <v>X</v>
      </c>
    </row>
    <row r="361" spans="1:5" x14ac:dyDescent="0.3">
      <c r="A361">
        <f>vendors!B363</f>
        <v>0</v>
      </c>
      <c r="B361" s="5">
        <f>vendors!C363</f>
        <v>0</v>
      </c>
      <c r="D361">
        <f t="shared" si="12"/>
        <v>0</v>
      </c>
      <c r="E361" t="str">
        <f t="shared" si="13"/>
        <v>X</v>
      </c>
    </row>
    <row r="362" spans="1:5" x14ac:dyDescent="0.3">
      <c r="A362">
        <f>vendors!B364</f>
        <v>0</v>
      </c>
      <c r="B362" s="5">
        <f>vendors!C364</f>
        <v>0</v>
      </c>
      <c r="D362">
        <f t="shared" si="12"/>
        <v>0</v>
      </c>
      <c r="E362" t="str">
        <f t="shared" si="13"/>
        <v>X</v>
      </c>
    </row>
    <row r="363" spans="1:5" x14ac:dyDescent="0.3">
      <c r="A363">
        <f>vendors!B365</f>
        <v>0</v>
      </c>
      <c r="B363" s="5">
        <f>vendors!C365</f>
        <v>0</v>
      </c>
      <c r="D363">
        <f t="shared" si="12"/>
        <v>0</v>
      </c>
      <c r="E363" t="str">
        <f t="shared" si="13"/>
        <v>X</v>
      </c>
    </row>
    <row r="364" spans="1:5" x14ac:dyDescent="0.3">
      <c r="A364">
        <f>vendors!B366</f>
        <v>0</v>
      </c>
      <c r="B364" s="5">
        <f>vendors!C366</f>
        <v>0</v>
      </c>
      <c r="D364">
        <f t="shared" si="12"/>
        <v>0</v>
      </c>
      <c r="E364" t="str">
        <f t="shared" si="13"/>
        <v>X</v>
      </c>
    </row>
    <row r="365" spans="1:5" x14ac:dyDescent="0.3">
      <c r="A365">
        <f>vendors!B367</f>
        <v>0</v>
      </c>
      <c r="B365" s="5">
        <f>vendors!C367</f>
        <v>0</v>
      </c>
      <c r="D365">
        <f t="shared" si="12"/>
        <v>0</v>
      </c>
      <c r="E365" t="str">
        <f t="shared" si="13"/>
        <v>X</v>
      </c>
    </row>
    <row r="366" spans="1:5" x14ac:dyDescent="0.3">
      <c r="A366">
        <f>vendors!B368</f>
        <v>0</v>
      </c>
      <c r="B366" s="5">
        <f>vendors!C368</f>
        <v>0</v>
      </c>
      <c r="D366">
        <f t="shared" si="12"/>
        <v>0</v>
      </c>
      <c r="E366" t="str">
        <f t="shared" si="13"/>
        <v>X</v>
      </c>
    </row>
    <row r="367" spans="1:5" x14ac:dyDescent="0.3">
      <c r="A367">
        <f>vendors!B369</f>
        <v>0</v>
      </c>
      <c r="B367" s="5">
        <f>vendors!C369</f>
        <v>0</v>
      </c>
      <c r="D367">
        <f t="shared" si="12"/>
        <v>0</v>
      </c>
      <c r="E367" t="str">
        <f t="shared" si="13"/>
        <v>X</v>
      </c>
    </row>
    <row r="368" spans="1:5" x14ac:dyDescent="0.3">
      <c r="A368">
        <f>vendors!B370</f>
        <v>0</v>
      </c>
      <c r="B368" s="5">
        <f>vendors!C370</f>
        <v>0</v>
      </c>
      <c r="D368">
        <f t="shared" si="12"/>
        <v>0</v>
      </c>
      <c r="E368" t="str">
        <f t="shared" si="13"/>
        <v>X</v>
      </c>
    </row>
    <row r="369" spans="1:5" x14ac:dyDescent="0.3">
      <c r="A369">
        <f>vendors!B371</f>
        <v>0</v>
      </c>
      <c r="B369" s="5">
        <f>vendors!C371</f>
        <v>0</v>
      </c>
      <c r="D369">
        <f t="shared" si="12"/>
        <v>0</v>
      </c>
      <c r="E369" t="str">
        <f t="shared" si="13"/>
        <v>X</v>
      </c>
    </row>
    <row r="370" spans="1:5" x14ac:dyDescent="0.3">
      <c r="A370">
        <f>vendors!B372</f>
        <v>0</v>
      </c>
      <c r="B370" s="5">
        <f>vendors!C372</f>
        <v>0</v>
      </c>
      <c r="D370">
        <f t="shared" si="12"/>
        <v>0</v>
      </c>
      <c r="E370" t="str">
        <f t="shared" si="13"/>
        <v>X</v>
      </c>
    </row>
    <row r="371" spans="1:5" x14ac:dyDescent="0.3">
      <c r="A371">
        <f>vendors!B373</f>
        <v>0</v>
      </c>
      <c r="B371" s="5">
        <f>vendors!C373</f>
        <v>0</v>
      </c>
      <c r="D371">
        <f t="shared" si="12"/>
        <v>0</v>
      </c>
      <c r="E371" t="str">
        <f t="shared" si="13"/>
        <v>X</v>
      </c>
    </row>
    <row r="372" spans="1:5" x14ac:dyDescent="0.3">
      <c r="A372">
        <f>vendors!B374</f>
        <v>0</v>
      </c>
      <c r="B372" s="5">
        <f>vendors!C374</f>
        <v>0</v>
      </c>
      <c r="D372">
        <f t="shared" si="12"/>
        <v>0</v>
      </c>
      <c r="E372" t="str">
        <f t="shared" si="13"/>
        <v>X</v>
      </c>
    </row>
    <row r="373" spans="1:5" x14ac:dyDescent="0.3">
      <c r="A373">
        <f>vendors!B375</f>
        <v>0</v>
      </c>
      <c r="B373" s="5">
        <f>vendors!C375</f>
        <v>0</v>
      </c>
      <c r="D373">
        <f t="shared" si="12"/>
        <v>0</v>
      </c>
      <c r="E373" t="str">
        <f t="shared" si="13"/>
        <v>X</v>
      </c>
    </row>
    <row r="374" spans="1:5" x14ac:dyDescent="0.3">
      <c r="A374">
        <f>vendors!B376</f>
        <v>0</v>
      </c>
      <c r="B374" s="5">
        <f>vendors!C376</f>
        <v>0</v>
      </c>
      <c r="D374">
        <f t="shared" si="12"/>
        <v>0</v>
      </c>
      <c r="E374" t="str">
        <f t="shared" si="13"/>
        <v>X</v>
      </c>
    </row>
    <row r="375" spans="1:5" x14ac:dyDescent="0.3">
      <c r="A375">
        <f>vendors!B377</f>
        <v>0</v>
      </c>
      <c r="B375" s="5">
        <f>vendors!C377</f>
        <v>0</v>
      </c>
      <c r="D375">
        <f t="shared" si="12"/>
        <v>0</v>
      </c>
      <c r="E375" t="str">
        <f t="shared" si="13"/>
        <v>X</v>
      </c>
    </row>
    <row r="376" spans="1:5" x14ac:dyDescent="0.3">
      <c r="A376">
        <f>vendors!B378</f>
        <v>0</v>
      </c>
      <c r="B376" s="5">
        <f>vendors!C378</f>
        <v>0</v>
      </c>
      <c r="D376">
        <f t="shared" si="12"/>
        <v>0</v>
      </c>
      <c r="E376" t="str">
        <f t="shared" si="13"/>
        <v>X</v>
      </c>
    </row>
    <row r="377" spans="1:5" x14ac:dyDescent="0.3">
      <c r="A377">
        <f>vendors!B379</f>
        <v>0</v>
      </c>
      <c r="B377" s="5">
        <f>vendors!C379</f>
        <v>0</v>
      </c>
      <c r="D377">
        <f t="shared" si="12"/>
        <v>0</v>
      </c>
      <c r="E377" t="str">
        <f t="shared" si="13"/>
        <v>X</v>
      </c>
    </row>
    <row r="378" spans="1:5" x14ac:dyDescent="0.3">
      <c r="A378">
        <f>vendors!B380</f>
        <v>0</v>
      </c>
      <c r="B378" s="5">
        <f>vendors!C380</f>
        <v>0</v>
      </c>
      <c r="D378">
        <f t="shared" si="12"/>
        <v>0</v>
      </c>
      <c r="E378" t="str">
        <f t="shared" si="13"/>
        <v>X</v>
      </c>
    </row>
    <row r="379" spans="1:5" x14ac:dyDescent="0.3">
      <c r="A379">
        <f>vendors!B381</f>
        <v>0</v>
      </c>
      <c r="B379" s="5">
        <f>vendors!C381</f>
        <v>0</v>
      </c>
      <c r="D379">
        <f t="shared" si="12"/>
        <v>0</v>
      </c>
      <c r="E379" t="str">
        <f t="shared" si="13"/>
        <v>X</v>
      </c>
    </row>
    <row r="380" spans="1:5" x14ac:dyDescent="0.3">
      <c r="A380">
        <f>vendors!B382</f>
        <v>0</v>
      </c>
      <c r="B380" s="5">
        <f>vendors!C382</f>
        <v>0</v>
      </c>
      <c r="D380">
        <f t="shared" si="12"/>
        <v>0</v>
      </c>
      <c r="E380" t="str">
        <f t="shared" si="13"/>
        <v>X</v>
      </c>
    </row>
    <row r="381" spans="1:5" x14ac:dyDescent="0.3">
      <c r="A381">
        <f>vendors!B383</f>
        <v>0</v>
      </c>
      <c r="B381" s="5">
        <f>vendors!C383</f>
        <v>0</v>
      </c>
      <c r="D381">
        <f t="shared" si="12"/>
        <v>0</v>
      </c>
      <c r="E381" t="str">
        <f t="shared" si="13"/>
        <v>X</v>
      </c>
    </row>
    <row r="382" spans="1:5" x14ac:dyDescent="0.3">
      <c r="A382">
        <f>vendors!B384</f>
        <v>0</v>
      </c>
      <c r="B382" s="5">
        <f>vendors!C384</f>
        <v>0</v>
      </c>
      <c r="D382">
        <f t="shared" si="12"/>
        <v>0</v>
      </c>
      <c r="E382" t="str">
        <f t="shared" si="13"/>
        <v>X</v>
      </c>
    </row>
    <row r="383" spans="1:5" x14ac:dyDescent="0.3">
      <c r="A383">
        <f>vendors!B385</f>
        <v>0</v>
      </c>
      <c r="B383" s="5">
        <f>vendors!C385</f>
        <v>0</v>
      </c>
      <c r="D383">
        <f t="shared" si="12"/>
        <v>0</v>
      </c>
      <c r="E383" t="str">
        <f t="shared" si="13"/>
        <v>X</v>
      </c>
    </row>
    <row r="384" spans="1:5" x14ac:dyDescent="0.3">
      <c r="A384">
        <f>vendors!B386</f>
        <v>0</v>
      </c>
      <c r="B384" s="5">
        <f>vendors!C386</f>
        <v>0</v>
      </c>
      <c r="D384">
        <f t="shared" si="12"/>
        <v>0</v>
      </c>
      <c r="E384" t="str">
        <f t="shared" si="13"/>
        <v>X</v>
      </c>
    </row>
    <row r="385" spans="1:5" x14ac:dyDescent="0.3">
      <c r="A385">
        <f>vendors!B387</f>
        <v>0</v>
      </c>
      <c r="B385" s="5">
        <f>vendors!C387</f>
        <v>0</v>
      </c>
      <c r="D385">
        <f t="shared" si="12"/>
        <v>0</v>
      </c>
      <c r="E385" t="str">
        <f t="shared" si="13"/>
        <v>X</v>
      </c>
    </row>
    <row r="386" spans="1:5" x14ac:dyDescent="0.3">
      <c r="A386">
        <f>vendors!B388</f>
        <v>0</v>
      </c>
      <c r="B386" s="5">
        <f>vendors!C388</f>
        <v>0</v>
      </c>
      <c r="D386">
        <f t="shared" si="12"/>
        <v>0</v>
      </c>
      <c r="E386" t="str">
        <f t="shared" si="13"/>
        <v>X</v>
      </c>
    </row>
    <row r="387" spans="1:5" x14ac:dyDescent="0.3">
      <c r="A387">
        <f>vendors!B389</f>
        <v>0</v>
      </c>
      <c r="B387" s="5">
        <f>vendors!C389</f>
        <v>0</v>
      </c>
      <c r="D387">
        <f t="shared" ref="D387:D450" si="14">C387*B387</f>
        <v>0</v>
      </c>
      <c r="E387" t="str">
        <f t="shared" ref="E387:E450" si="15">IF(C387&lt;500, "X", "")</f>
        <v>X</v>
      </c>
    </row>
    <row r="388" spans="1:5" x14ac:dyDescent="0.3">
      <c r="A388">
        <f>vendors!B390</f>
        <v>0</v>
      </c>
      <c r="B388" s="5">
        <f>vendors!C390</f>
        <v>0</v>
      </c>
      <c r="D388">
        <f t="shared" si="14"/>
        <v>0</v>
      </c>
      <c r="E388" t="str">
        <f t="shared" si="15"/>
        <v>X</v>
      </c>
    </row>
    <row r="389" spans="1:5" x14ac:dyDescent="0.3">
      <c r="A389">
        <f>vendors!B391</f>
        <v>0</v>
      </c>
      <c r="B389" s="5">
        <f>vendors!C391</f>
        <v>0</v>
      </c>
      <c r="D389">
        <f t="shared" si="14"/>
        <v>0</v>
      </c>
      <c r="E389" t="str">
        <f t="shared" si="15"/>
        <v>X</v>
      </c>
    </row>
    <row r="390" spans="1:5" x14ac:dyDescent="0.3">
      <c r="A390">
        <f>vendors!B392</f>
        <v>0</v>
      </c>
      <c r="B390" s="5">
        <f>vendors!C392</f>
        <v>0</v>
      </c>
      <c r="D390">
        <f t="shared" si="14"/>
        <v>0</v>
      </c>
      <c r="E390" t="str">
        <f t="shared" si="15"/>
        <v>X</v>
      </c>
    </row>
    <row r="391" spans="1:5" x14ac:dyDescent="0.3">
      <c r="A391">
        <f>vendors!B393</f>
        <v>0</v>
      </c>
      <c r="B391" s="5">
        <f>vendors!C393</f>
        <v>0</v>
      </c>
      <c r="D391">
        <f t="shared" si="14"/>
        <v>0</v>
      </c>
      <c r="E391" t="str">
        <f t="shared" si="15"/>
        <v>X</v>
      </c>
    </row>
    <row r="392" spans="1:5" x14ac:dyDescent="0.3">
      <c r="A392">
        <f>vendors!B394</f>
        <v>0</v>
      </c>
      <c r="B392" s="5">
        <f>vendors!C394</f>
        <v>0</v>
      </c>
      <c r="D392">
        <f t="shared" si="14"/>
        <v>0</v>
      </c>
      <c r="E392" t="str">
        <f t="shared" si="15"/>
        <v>X</v>
      </c>
    </row>
    <row r="393" spans="1:5" x14ac:dyDescent="0.3">
      <c r="A393">
        <f>vendors!B395</f>
        <v>0</v>
      </c>
      <c r="B393" s="5">
        <f>vendors!C395</f>
        <v>0</v>
      </c>
      <c r="D393">
        <f t="shared" si="14"/>
        <v>0</v>
      </c>
      <c r="E393" t="str">
        <f t="shared" si="15"/>
        <v>X</v>
      </c>
    </row>
    <row r="394" spans="1:5" x14ac:dyDescent="0.3">
      <c r="A394">
        <f>vendors!B396</f>
        <v>0</v>
      </c>
      <c r="B394" s="5">
        <f>vendors!C396</f>
        <v>0</v>
      </c>
      <c r="D394">
        <f t="shared" si="14"/>
        <v>0</v>
      </c>
      <c r="E394" t="str">
        <f t="shared" si="15"/>
        <v>X</v>
      </c>
    </row>
    <row r="395" spans="1:5" x14ac:dyDescent="0.3">
      <c r="A395">
        <f>vendors!B397</f>
        <v>0</v>
      </c>
      <c r="B395" s="5">
        <f>vendors!C397</f>
        <v>0</v>
      </c>
      <c r="D395">
        <f t="shared" si="14"/>
        <v>0</v>
      </c>
      <c r="E395" t="str">
        <f t="shared" si="15"/>
        <v>X</v>
      </c>
    </row>
    <row r="396" spans="1:5" x14ac:dyDescent="0.3">
      <c r="A396">
        <f>vendors!B398</f>
        <v>0</v>
      </c>
      <c r="B396" s="5">
        <f>vendors!C398</f>
        <v>0</v>
      </c>
      <c r="D396">
        <f t="shared" si="14"/>
        <v>0</v>
      </c>
      <c r="E396" t="str">
        <f t="shared" si="15"/>
        <v>X</v>
      </c>
    </row>
    <row r="397" spans="1:5" x14ac:dyDescent="0.3">
      <c r="A397">
        <f>vendors!B399</f>
        <v>0</v>
      </c>
      <c r="B397" s="5">
        <f>vendors!C399</f>
        <v>0</v>
      </c>
      <c r="D397">
        <f t="shared" si="14"/>
        <v>0</v>
      </c>
      <c r="E397" t="str">
        <f t="shared" si="15"/>
        <v>X</v>
      </c>
    </row>
    <row r="398" spans="1:5" x14ac:dyDescent="0.3">
      <c r="A398">
        <f>vendors!B400</f>
        <v>0</v>
      </c>
      <c r="B398" s="5">
        <f>vendors!C400</f>
        <v>0</v>
      </c>
      <c r="D398">
        <f t="shared" si="14"/>
        <v>0</v>
      </c>
      <c r="E398" t="str">
        <f t="shared" si="15"/>
        <v>X</v>
      </c>
    </row>
    <row r="399" spans="1:5" x14ac:dyDescent="0.3">
      <c r="A399">
        <f>vendors!B401</f>
        <v>0</v>
      </c>
      <c r="B399" s="5">
        <f>vendors!C401</f>
        <v>0</v>
      </c>
      <c r="D399">
        <f t="shared" si="14"/>
        <v>0</v>
      </c>
      <c r="E399" t="str">
        <f t="shared" si="15"/>
        <v>X</v>
      </c>
    </row>
    <row r="400" spans="1:5" x14ac:dyDescent="0.3">
      <c r="A400">
        <f>vendors!B402</f>
        <v>0</v>
      </c>
      <c r="B400" s="5">
        <f>vendors!C402</f>
        <v>0</v>
      </c>
      <c r="D400">
        <f t="shared" si="14"/>
        <v>0</v>
      </c>
      <c r="E400" t="str">
        <f t="shared" si="15"/>
        <v>X</v>
      </c>
    </row>
    <row r="401" spans="1:5" x14ac:dyDescent="0.3">
      <c r="A401">
        <f>vendors!B403</f>
        <v>0</v>
      </c>
      <c r="B401" s="5">
        <f>vendors!C403</f>
        <v>0</v>
      </c>
      <c r="D401">
        <f t="shared" si="14"/>
        <v>0</v>
      </c>
      <c r="E401" t="str">
        <f t="shared" si="15"/>
        <v>X</v>
      </c>
    </row>
    <row r="402" spans="1:5" x14ac:dyDescent="0.3">
      <c r="A402">
        <f>vendors!B404</f>
        <v>0</v>
      </c>
      <c r="B402" s="5">
        <f>vendors!C404</f>
        <v>0</v>
      </c>
      <c r="D402">
        <f t="shared" si="14"/>
        <v>0</v>
      </c>
      <c r="E402" t="str">
        <f t="shared" si="15"/>
        <v>X</v>
      </c>
    </row>
    <row r="403" spans="1:5" x14ac:dyDescent="0.3">
      <c r="A403">
        <f>vendors!B405</f>
        <v>0</v>
      </c>
      <c r="B403" s="5">
        <f>vendors!C405</f>
        <v>0</v>
      </c>
      <c r="D403">
        <f t="shared" si="14"/>
        <v>0</v>
      </c>
      <c r="E403" t="str">
        <f t="shared" si="15"/>
        <v>X</v>
      </c>
    </row>
    <row r="404" spans="1:5" x14ac:dyDescent="0.3">
      <c r="A404">
        <f>vendors!B406</f>
        <v>0</v>
      </c>
      <c r="B404" s="5">
        <f>vendors!C406</f>
        <v>0</v>
      </c>
      <c r="D404">
        <f t="shared" si="14"/>
        <v>0</v>
      </c>
      <c r="E404" t="str">
        <f t="shared" si="15"/>
        <v>X</v>
      </c>
    </row>
    <row r="405" spans="1:5" x14ac:dyDescent="0.3">
      <c r="A405">
        <f>vendors!B407</f>
        <v>0</v>
      </c>
      <c r="B405" s="5">
        <f>vendors!C407</f>
        <v>0</v>
      </c>
      <c r="D405">
        <f t="shared" si="14"/>
        <v>0</v>
      </c>
      <c r="E405" t="str">
        <f t="shared" si="15"/>
        <v>X</v>
      </c>
    </row>
    <row r="406" spans="1:5" x14ac:dyDescent="0.3">
      <c r="A406">
        <f>vendors!B408</f>
        <v>0</v>
      </c>
      <c r="B406" s="5">
        <f>vendors!C408</f>
        <v>0</v>
      </c>
      <c r="D406">
        <f t="shared" si="14"/>
        <v>0</v>
      </c>
      <c r="E406" t="str">
        <f t="shared" si="15"/>
        <v>X</v>
      </c>
    </row>
    <row r="407" spans="1:5" x14ac:dyDescent="0.3">
      <c r="A407">
        <f>vendors!B409</f>
        <v>0</v>
      </c>
      <c r="B407" s="5">
        <f>vendors!C409</f>
        <v>0</v>
      </c>
      <c r="D407">
        <f t="shared" si="14"/>
        <v>0</v>
      </c>
      <c r="E407" t="str">
        <f t="shared" si="15"/>
        <v>X</v>
      </c>
    </row>
    <row r="408" spans="1:5" x14ac:dyDescent="0.3">
      <c r="A408">
        <f>vendors!B410</f>
        <v>0</v>
      </c>
      <c r="B408" s="5">
        <f>vendors!C410</f>
        <v>0</v>
      </c>
      <c r="D408">
        <f t="shared" si="14"/>
        <v>0</v>
      </c>
      <c r="E408" t="str">
        <f t="shared" si="15"/>
        <v>X</v>
      </c>
    </row>
    <row r="409" spans="1:5" x14ac:dyDescent="0.3">
      <c r="A409">
        <f>vendors!B411</f>
        <v>0</v>
      </c>
      <c r="B409" s="5">
        <f>vendors!C411</f>
        <v>0</v>
      </c>
      <c r="D409">
        <f t="shared" si="14"/>
        <v>0</v>
      </c>
      <c r="E409" t="str">
        <f t="shared" si="15"/>
        <v>X</v>
      </c>
    </row>
    <row r="410" spans="1:5" x14ac:dyDescent="0.3">
      <c r="A410">
        <f>vendors!B412</f>
        <v>0</v>
      </c>
      <c r="B410" s="5">
        <f>vendors!C412</f>
        <v>0</v>
      </c>
      <c r="D410">
        <f t="shared" si="14"/>
        <v>0</v>
      </c>
      <c r="E410" t="str">
        <f t="shared" si="15"/>
        <v>X</v>
      </c>
    </row>
    <row r="411" spans="1:5" x14ac:dyDescent="0.3">
      <c r="A411">
        <f>vendors!B413</f>
        <v>0</v>
      </c>
      <c r="B411" s="5">
        <f>vendors!C413</f>
        <v>0</v>
      </c>
      <c r="D411">
        <f t="shared" si="14"/>
        <v>0</v>
      </c>
      <c r="E411" t="str">
        <f t="shared" si="15"/>
        <v>X</v>
      </c>
    </row>
    <row r="412" spans="1:5" x14ac:dyDescent="0.3">
      <c r="A412">
        <f>vendors!B414</f>
        <v>0</v>
      </c>
      <c r="B412" s="5">
        <f>vendors!C414</f>
        <v>0</v>
      </c>
      <c r="D412">
        <f t="shared" si="14"/>
        <v>0</v>
      </c>
      <c r="E412" t="str">
        <f t="shared" si="15"/>
        <v>X</v>
      </c>
    </row>
    <row r="413" spans="1:5" x14ac:dyDescent="0.3">
      <c r="A413">
        <f>vendors!B415</f>
        <v>0</v>
      </c>
      <c r="B413" s="5">
        <f>vendors!C415</f>
        <v>0</v>
      </c>
      <c r="D413">
        <f t="shared" si="14"/>
        <v>0</v>
      </c>
      <c r="E413" t="str">
        <f t="shared" si="15"/>
        <v>X</v>
      </c>
    </row>
    <row r="414" spans="1:5" x14ac:dyDescent="0.3">
      <c r="A414">
        <f>vendors!B416</f>
        <v>0</v>
      </c>
      <c r="B414" s="5">
        <f>vendors!C416</f>
        <v>0</v>
      </c>
      <c r="D414">
        <f t="shared" si="14"/>
        <v>0</v>
      </c>
      <c r="E414" t="str">
        <f t="shared" si="15"/>
        <v>X</v>
      </c>
    </row>
    <row r="415" spans="1:5" x14ac:dyDescent="0.3">
      <c r="A415">
        <f>vendors!B417</f>
        <v>0</v>
      </c>
      <c r="B415" s="5">
        <f>vendors!C417</f>
        <v>0</v>
      </c>
      <c r="D415">
        <f t="shared" si="14"/>
        <v>0</v>
      </c>
      <c r="E415" t="str">
        <f t="shared" si="15"/>
        <v>X</v>
      </c>
    </row>
    <row r="416" spans="1:5" x14ac:dyDescent="0.3">
      <c r="A416">
        <f>vendors!B418</f>
        <v>0</v>
      </c>
      <c r="B416" s="5">
        <f>vendors!C418</f>
        <v>0</v>
      </c>
      <c r="D416">
        <f t="shared" si="14"/>
        <v>0</v>
      </c>
      <c r="E416" t="str">
        <f t="shared" si="15"/>
        <v>X</v>
      </c>
    </row>
    <row r="417" spans="1:5" x14ac:dyDescent="0.3">
      <c r="A417">
        <f>vendors!B419</f>
        <v>0</v>
      </c>
      <c r="B417" s="5">
        <f>vendors!C419</f>
        <v>0</v>
      </c>
      <c r="D417">
        <f t="shared" si="14"/>
        <v>0</v>
      </c>
      <c r="E417" t="str">
        <f t="shared" si="15"/>
        <v>X</v>
      </c>
    </row>
    <row r="418" spans="1:5" x14ac:dyDescent="0.3">
      <c r="A418">
        <f>vendors!B420</f>
        <v>0</v>
      </c>
      <c r="B418" s="5">
        <f>vendors!C420</f>
        <v>0</v>
      </c>
      <c r="D418">
        <f t="shared" si="14"/>
        <v>0</v>
      </c>
      <c r="E418" t="str">
        <f t="shared" si="15"/>
        <v>X</v>
      </c>
    </row>
    <row r="419" spans="1:5" x14ac:dyDescent="0.3">
      <c r="A419">
        <f>vendors!B421</f>
        <v>0</v>
      </c>
      <c r="B419" s="5">
        <f>vendors!C421</f>
        <v>0</v>
      </c>
      <c r="D419">
        <f t="shared" si="14"/>
        <v>0</v>
      </c>
      <c r="E419" t="str">
        <f t="shared" si="15"/>
        <v>X</v>
      </c>
    </row>
    <row r="420" spans="1:5" x14ac:dyDescent="0.3">
      <c r="A420">
        <f>vendors!B422</f>
        <v>0</v>
      </c>
      <c r="B420" s="5">
        <f>vendors!C422</f>
        <v>0</v>
      </c>
      <c r="D420">
        <f t="shared" si="14"/>
        <v>0</v>
      </c>
      <c r="E420" t="str">
        <f t="shared" si="15"/>
        <v>X</v>
      </c>
    </row>
    <row r="421" spans="1:5" x14ac:dyDescent="0.3">
      <c r="A421">
        <f>vendors!B423</f>
        <v>0</v>
      </c>
      <c r="B421" s="5">
        <f>vendors!C423</f>
        <v>0</v>
      </c>
      <c r="D421">
        <f t="shared" si="14"/>
        <v>0</v>
      </c>
      <c r="E421" t="str">
        <f t="shared" si="15"/>
        <v>X</v>
      </c>
    </row>
    <row r="422" spans="1:5" x14ac:dyDescent="0.3">
      <c r="A422">
        <f>vendors!B424</f>
        <v>0</v>
      </c>
      <c r="B422" s="5">
        <f>vendors!C424</f>
        <v>0</v>
      </c>
      <c r="D422">
        <f t="shared" si="14"/>
        <v>0</v>
      </c>
      <c r="E422" t="str">
        <f t="shared" si="15"/>
        <v>X</v>
      </c>
    </row>
    <row r="423" spans="1:5" x14ac:dyDescent="0.3">
      <c r="A423">
        <f>vendors!B425</f>
        <v>0</v>
      </c>
      <c r="B423" s="5">
        <f>vendors!C425</f>
        <v>0</v>
      </c>
      <c r="D423">
        <f t="shared" si="14"/>
        <v>0</v>
      </c>
      <c r="E423" t="str">
        <f t="shared" si="15"/>
        <v>X</v>
      </c>
    </row>
    <row r="424" spans="1:5" x14ac:dyDescent="0.3">
      <c r="A424">
        <f>vendors!B426</f>
        <v>0</v>
      </c>
      <c r="B424" s="5">
        <f>vendors!C426</f>
        <v>0</v>
      </c>
      <c r="D424">
        <f t="shared" si="14"/>
        <v>0</v>
      </c>
      <c r="E424" t="str">
        <f t="shared" si="15"/>
        <v>X</v>
      </c>
    </row>
    <row r="425" spans="1:5" x14ac:dyDescent="0.3">
      <c r="A425">
        <f>vendors!B427</f>
        <v>0</v>
      </c>
      <c r="B425" s="5">
        <f>vendors!C427</f>
        <v>0</v>
      </c>
      <c r="D425">
        <f t="shared" si="14"/>
        <v>0</v>
      </c>
      <c r="E425" t="str">
        <f t="shared" si="15"/>
        <v>X</v>
      </c>
    </row>
    <row r="426" spans="1:5" x14ac:dyDescent="0.3">
      <c r="A426">
        <f>vendors!B428</f>
        <v>0</v>
      </c>
      <c r="B426" s="5">
        <f>vendors!C428</f>
        <v>0</v>
      </c>
      <c r="D426">
        <f t="shared" si="14"/>
        <v>0</v>
      </c>
      <c r="E426" t="str">
        <f t="shared" si="15"/>
        <v>X</v>
      </c>
    </row>
    <row r="427" spans="1:5" x14ac:dyDescent="0.3">
      <c r="A427">
        <f>vendors!B429</f>
        <v>0</v>
      </c>
      <c r="B427" s="5">
        <f>vendors!C429</f>
        <v>0</v>
      </c>
      <c r="D427">
        <f t="shared" si="14"/>
        <v>0</v>
      </c>
      <c r="E427" t="str">
        <f t="shared" si="15"/>
        <v>X</v>
      </c>
    </row>
    <row r="428" spans="1:5" x14ac:dyDescent="0.3">
      <c r="A428">
        <f>vendors!B430</f>
        <v>0</v>
      </c>
      <c r="B428" s="5">
        <f>vendors!C430</f>
        <v>0</v>
      </c>
      <c r="D428">
        <f t="shared" si="14"/>
        <v>0</v>
      </c>
      <c r="E428" t="str">
        <f t="shared" si="15"/>
        <v>X</v>
      </c>
    </row>
    <row r="429" spans="1:5" x14ac:dyDescent="0.3">
      <c r="A429">
        <f>vendors!B431</f>
        <v>0</v>
      </c>
      <c r="B429" s="5">
        <f>vendors!C431</f>
        <v>0</v>
      </c>
      <c r="D429">
        <f t="shared" si="14"/>
        <v>0</v>
      </c>
      <c r="E429" t="str">
        <f t="shared" si="15"/>
        <v>X</v>
      </c>
    </row>
    <row r="430" spans="1:5" x14ac:dyDescent="0.3">
      <c r="A430">
        <f>vendors!B432</f>
        <v>0</v>
      </c>
      <c r="B430" s="5">
        <f>vendors!C432</f>
        <v>0</v>
      </c>
      <c r="D430">
        <f t="shared" si="14"/>
        <v>0</v>
      </c>
      <c r="E430" t="str">
        <f t="shared" si="15"/>
        <v>X</v>
      </c>
    </row>
    <row r="431" spans="1:5" x14ac:dyDescent="0.3">
      <c r="A431">
        <f>vendors!B433</f>
        <v>0</v>
      </c>
      <c r="B431" s="5">
        <f>vendors!C433</f>
        <v>0</v>
      </c>
      <c r="D431">
        <f t="shared" si="14"/>
        <v>0</v>
      </c>
      <c r="E431" t="str">
        <f t="shared" si="15"/>
        <v>X</v>
      </c>
    </row>
    <row r="432" spans="1:5" x14ac:dyDescent="0.3">
      <c r="A432">
        <f>vendors!B434</f>
        <v>0</v>
      </c>
      <c r="B432" s="5">
        <f>vendors!C434</f>
        <v>0</v>
      </c>
      <c r="D432">
        <f t="shared" si="14"/>
        <v>0</v>
      </c>
      <c r="E432" t="str">
        <f t="shared" si="15"/>
        <v>X</v>
      </c>
    </row>
    <row r="433" spans="1:5" x14ac:dyDescent="0.3">
      <c r="A433">
        <f>vendors!B435</f>
        <v>0</v>
      </c>
      <c r="B433" s="5">
        <f>vendors!C435</f>
        <v>0</v>
      </c>
      <c r="D433">
        <f t="shared" si="14"/>
        <v>0</v>
      </c>
      <c r="E433" t="str">
        <f t="shared" si="15"/>
        <v>X</v>
      </c>
    </row>
    <row r="434" spans="1:5" x14ac:dyDescent="0.3">
      <c r="A434">
        <f>vendors!B436</f>
        <v>0</v>
      </c>
      <c r="B434" s="5">
        <f>vendors!C436</f>
        <v>0</v>
      </c>
      <c r="D434">
        <f t="shared" si="14"/>
        <v>0</v>
      </c>
      <c r="E434" t="str">
        <f t="shared" si="15"/>
        <v>X</v>
      </c>
    </row>
    <row r="435" spans="1:5" x14ac:dyDescent="0.3">
      <c r="A435">
        <f>vendors!B437</f>
        <v>0</v>
      </c>
      <c r="B435" s="5">
        <f>vendors!C437</f>
        <v>0</v>
      </c>
      <c r="D435">
        <f t="shared" si="14"/>
        <v>0</v>
      </c>
      <c r="E435" t="str">
        <f t="shared" si="15"/>
        <v>X</v>
      </c>
    </row>
    <row r="436" spans="1:5" x14ac:dyDescent="0.3">
      <c r="A436">
        <f>vendors!B438</f>
        <v>0</v>
      </c>
      <c r="B436" s="5">
        <f>vendors!C438</f>
        <v>0</v>
      </c>
      <c r="D436">
        <f t="shared" si="14"/>
        <v>0</v>
      </c>
      <c r="E436" t="str">
        <f t="shared" si="15"/>
        <v>X</v>
      </c>
    </row>
    <row r="437" spans="1:5" x14ac:dyDescent="0.3">
      <c r="A437">
        <f>vendors!B439</f>
        <v>0</v>
      </c>
      <c r="B437" s="5">
        <f>vendors!C439</f>
        <v>0</v>
      </c>
      <c r="D437">
        <f t="shared" si="14"/>
        <v>0</v>
      </c>
      <c r="E437" t="str">
        <f t="shared" si="15"/>
        <v>X</v>
      </c>
    </row>
    <row r="438" spans="1:5" x14ac:dyDescent="0.3">
      <c r="A438">
        <f>vendors!B440</f>
        <v>0</v>
      </c>
      <c r="B438" s="5">
        <f>vendors!C440</f>
        <v>0</v>
      </c>
      <c r="D438">
        <f t="shared" si="14"/>
        <v>0</v>
      </c>
      <c r="E438" t="str">
        <f t="shared" si="15"/>
        <v>X</v>
      </c>
    </row>
    <row r="439" spans="1:5" x14ac:dyDescent="0.3">
      <c r="A439">
        <f>vendors!B441</f>
        <v>0</v>
      </c>
      <c r="B439" s="5">
        <f>vendors!C441</f>
        <v>0</v>
      </c>
      <c r="D439">
        <f t="shared" si="14"/>
        <v>0</v>
      </c>
      <c r="E439" t="str">
        <f t="shared" si="15"/>
        <v>X</v>
      </c>
    </row>
    <row r="440" spans="1:5" x14ac:dyDescent="0.3">
      <c r="A440">
        <f>vendors!B442</f>
        <v>0</v>
      </c>
      <c r="B440" s="5">
        <f>vendors!C442</f>
        <v>0</v>
      </c>
      <c r="D440">
        <f t="shared" si="14"/>
        <v>0</v>
      </c>
      <c r="E440" t="str">
        <f t="shared" si="15"/>
        <v>X</v>
      </c>
    </row>
    <row r="441" spans="1:5" x14ac:dyDescent="0.3">
      <c r="A441">
        <f>vendors!B443</f>
        <v>0</v>
      </c>
      <c r="B441" s="5">
        <f>vendors!C443</f>
        <v>0</v>
      </c>
      <c r="D441">
        <f t="shared" si="14"/>
        <v>0</v>
      </c>
      <c r="E441" t="str">
        <f t="shared" si="15"/>
        <v>X</v>
      </c>
    </row>
    <row r="442" spans="1:5" x14ac:dyDescent="0.3">
      <c r="A442">
        <f>vendors!B444</f>
        <v>0</v>
      </c>
      <c r="B442" s="5">
        <f>vendors!C444</f>
        <v>0</v>
      </c>
      <c r="D442">
        <f t="shared" si="14"/>
        <v>0</v>
      </c>
      <c r="E442" t="str">
        <f t="shared" si="15"/>
        <v>X</v>
      </c>
    </row>
    <row r="443" spans="1:5" x14ac:dyDescent="0.3">
      <c r="A443">
        <f>vendors!B445</f>
        <v>0</v>
      </c>
      <c r="B443" s="5">
        <f>vendors!C445</f>
        <v>0</v>
      </c>
      <c r="D443">
        <f t="shared" si="14"/>
        <v>0</v>
      </c>
      <c r="E443" t="str">
        <f t="shared" si="15"/>
        <v>X</v>
      </c>
    </row>
    <row r="444" spans="1:5" x14ac:dyDescent="0.3">
      <c r="A444">
        <f>vendors!B446</f>
        <v>0</v>
      </c>
      <c r="B444" s="5">
        <f>vendors!C446</f>
        <v>0</v>
      </c>
      <c r="D444">
        <f t="shared" si="14"/>
        <v>0</v>
      </c>
      <c r="E444" t="str">
        <f t="shared" si="15"/>
        <v>X</v>
      </c>
    </row>
    <row r="445" spans="1:5" x14ac:dyDescent="0.3">
      <c r="A445">
        <f>vendors!B447</f>
        <v>0</v>
      </c>
      <c r="B445" s="5">
        <f>vendors!C447</f>
        <v>0</v>
      </c>
      <c r="D445">
        <f t="shared" si="14"/>
        <v>0</v>
      </c>
      <c r="E445" t="str">
        <f t="shared" si="15"/>
        <v>X</v>
      </c>
    </row>
    <row r="446" spans="1:5" x14ac:dyDescent="0.3">
      <c r="A446">
        <f>vendors!B448</f>
        <v>0</v>
      </c>
      <c r="B446" s="5">
        <f>vendors!C448</f>
        <v>0</v>
      </c>
      <c r="D446">
        <f t="shared" si="14"/>
        <v>0</v>
      </c>
      <c r="E446" t="str">
        <f t="shared" si="15"/>
        <v>X</v>
      </c>
    </row>
    <row r="447" spans="1:5" x14ac:dyDescent="0.3">
      <c r="A447">
        <f>vendors!B449</f>
        <v>0</v>
      </c>
      <c r="B447" s="5">
        <f>vendors!C449</f>
        <v>0</v>
      </c>
      <c r="D447">
        <f t="shared" si="14"/>
        <v>0</v>
      </c>
      <c r="E447" t="str">
        <f t="shared" si="15"/>
        <v>X</v>
      </c>
    </row>
    <row r="448" spans="1:5" x14ac:dyDescent="0.3">
      <c r="A448">
        <f>vendors!B450</f>
        <v>0</v>
      </c>
      <c r="B448" s="5">
        <f>vendors!C450</f>
        <v>0</v>
      </c>
      <c r="D448">
        <f t="shared" si="14"/>
        <v>0</v>
      </c>
      <c r="E448" t="str">
        <f t="shared" si="15"/>
        <v>X</v>
      </c>
    </row>
    <row r="449" spans="1:5" x14ac:dyDescent="0.3">
      <c r="A449">
        <f>vendors!B451</f>
        <v>0</v>
      </c>
      <c r="B449" s="5">
        <f>vendors!C451</f>
        <v>0</v>
      </c>
      <c r="D449">
        <f t="shared" si="14"/>
        <v>0</v>
      </c>
      <c r="E449" t="str">
        <f t="shared" si="15"/>
        <v>X</v>
      </c>
    </row>
    <row r="450" spans="1:5" x14ac:dyDescent="0.3">
      <c r="A450">
        <f>vendors!B452</f>
        <v>0</v>
      </c>
      <c r="B450" s="5">
        <f>vendors!C452</f>
        <v>0</v>
      </c>
      <c r="D450">
        <f t="shared" si="14"/>
        <v>0</v>
      </c>
      <c r="E450" t="str">
        <f t="shared" si="15"/>
        <v>X</v>
      </c>
    </row>
    <row r="451" spans="1:5" x14ac:dyDescent="0.3">
      <c r="A451">
        <f>vendors!B453</f>
        <v>0</v>
      </c>
      <c r="B451" s="5">
        <f>vendors!C453</f>
        <v>0</v>
      </c>
      <c r="D451">
        <f t="shared" ref="D451:D514" si="16">C451*B451</f>
        <v>0</v>
      </c>
      <c r="E451" t="str">
        <f t="shared" ref="E451:E514" si="17">IF(C451&lt;500, "X", "")</f>
        <v>X</v>
      </c>
    </row>
    <row r="452" spans="1:5" x14ac:dyDescent="0.3">
      <c r="A452">
        <f>vendors!B454</f>
        <v>0</v>
      </c>
      <c r="B452" s="5">
        <f>vendors!C454</f>
        <v>0</v>
      </c>
      <c r="D452">
        <f t="shared" si="16"/>
        <v>0</v>
      </c>
      <c r="E452" t="str">
        <f t="shared" si="17"/>
        <v>X</v>
      </c>
    </row>
    <row r="453" spans="1:5" x14ac:dyDescent="0.3">
      <c r="A453">
        <f>vendors!B455</f>
        <v>0</v>
      </c>
      <c r="B453" s="5">
        <f>vendors!C455</f>
        <v>0</v>
      </c>
      <c r="D453">
        <f t="shared" si="16"/>
        <v>0</v>
      </c>
      <c r="E453" t="str">
        <f t="shared" si="17"/>
        <v>X</v>
      </c>
    </row>
    <row r="454" spans="1:5" x14ac:dyDescent="0.3">
      <c r="A454">
        <f>vendors!B456</f>
        <v>0</v>
      </c>
      <c r="B454" s="5">
        <f>vendors!C456</f>
        <v>0</v>
      </c>
      <c r="D454">
        <f t="shared" si="16"/>
        <v>0</v>
      </c>
      <c r="E454" t="str">
        <f t="shared" si="17"/>
        <v>X</v>
      </c>
    </row>
    <row r="455" spans="1:5" x14ac:dyDescent="0.3">
      <c r="A455">
        <f>vendors!B457</f>
        <v>0</v>
      </c>
      <c r="B455" s="5">
        <f>vendors!C457</f>
        <v>0</v>
      </c>
      <c r="D455">
        <f t="shared" si="16"/>
        <v>0</v>
      </c>
      <c r="E455" t="str">
        <f t="shared" si="17"/>
        <v>X</v>
      </c>
    </row>
    <row r="456" spans="1:5" x14ac:dyDescent="0.3">
      <c r="A456">
        <f>vendors!B458</f>
        <v>0</v>
      </c>
      <c r="B456" s="5">
        <f>vendors!C458</f>
        <v>0</v>
      </c>
      <c r="D456">
        <f t="shared" si="16"/>
        <v>0</v>
      </c>
      <c r="E456" t="str">
        <f t="shared" si="17"/>
        <v>X</v>
      </c>
    </row>
    <row r="457" spans="1:5" x14ac:dyDescent="0.3">
      <c r="A457">
        <f>vendors!B459</f>
        <v>0</v>
      </c>
      <c r="B457" s="5">
        <f>vendors!C459</f>
        <v>0</v>
      </c>
      <c r="D457">
        <f t="shared" si="16"/>
        <v>0</v>
      </c>
      <c r="E457" t="str">
        <f t="shared" si="17"/>
        <v>X</v>
      </c>
    </row>
    <row r="458" spans="1:5" x14ac:dyDescent="0.3">
      <c r="A458">
        <f>vendors!B460</f>
        <v>0</v>
      </c>
      <c r="B458" s="5">
        <f>vendors!C460</f>
        <v>0</v>
      </c>
      <c r="D458">
        <f t="shared" si="16"/>
        <v>0</v>
      </c>
      <c r="E458" t="str">
        <f t="shared" si="17"/>
        <v>X</v>
      </c>
    </row>
    <row r="459" spans="1:5" x14ac:dyDescent="0.3">
      <c r="A459">
        <f>vendors!B461</f>
        <v>0</v>
      </c>
      <c r="B459" s="5">
        <f>vendors!C461</f>
        <v>0</v>
      </c>
      <c r="D459">
        <f t="shared" si="16"/>
        <v>0</v>
      </c>
      <c r="E459" t="str">
        <f t="shared" si="17"/>
        <v>X</v>
      </c>
    </row>
    <row r="460" spans="1:5" x14ac:dyDescent="0.3">
      <c r="A460">
        <f>vendors!B462</f>
        <v>0</v>
      </c>
      <c r="B460" s="5">
        <f>vendors!C462</f>
        <v>0</v>
      </c>
      <c r="D460">
        <f t="shared" si="16"/>
        <v>0</v>
      </c>
      <c r="E460" t="str">
        <f t="shared" si="17"/>
        <v>X</v>
      </c>
    </row>
    <row r="461" spans="1:5" x14ac:dyDescent="0.3">
      <c r="A461">
        <f>vendors!B463</f>
        <v>0</v>
      </c>
      <c r="B461" s="5">
        <f>vendors!C463</f>
        <v>0</v>
      </c>
      <c r="D461">
        <f t="shared" si="16"/>
        <v>0</v>
      </c>
      <c r="E461" t="str">
        <f t="shared" si="17"/>
        <v>X</v>
      </c>
    </row>
    <row r="462" spans="1:5" x14ac:dyDescent="0.3">
      <c r="A462">
        <f>vendors!B464</f>
        <v>0</v>
      </c>
      <c r="B462" s="5">
        <f>vendors!C464</f>
        <v>0</v>
      </c>
      <c r="D462">
        <f t="shared" si="16"/>
        <v>0</v>
      </c>
      <c r="E462" t="str">
        <f t="shared" si="17"/>
        <v>X</v>
      </c>
    </row>
    <row r="463" spans="1:5" x14ac:dyDescent="0.3">
      <c r="A463">
        <f>vendors!B465</f>
        <v>0</v>
      </c>
      <c r="B463" s="5">
        <f>vendors!C465</f>
        <v>0</v>
      </c>
      <c r="D463">
        <f t="shared" si="16"/>
        <v>0</v>
      </c>
      <c r="E463" t="str">
        <f t="shared" si="17"/>
        <v>X</v>
      </c>
    </row>
    <row r="464" spans="1:5" x14ac:dyDescent="0.3">
      <c r="A464">
        <f>vendors!B466</f>
        <v>0</v>
      </c>
      <c r="B464" s="5">
        <f>vendors!C466</f>
        <v>0</v>
      </c>
      <c r="D464">
        <f t="shared" si="16"/>
        <v>0</v>
      </c>
      <c r="E464" t="str">
        <f t="shared" si="17"/>
        <v>X</v>
      </c>
    </row>
    <row r="465" spans="1:5" x14ac:dyDescent="0.3">
      <c r="A465">
        <f>vendors!B467</f>
        <v>0</v>
      </c>
      <c r="B465" s="5">
        <f>vendors!C467</f>
        <v>0</v>
      </c>
      <c r="D465">
        <f t="shared" si="16"/>
        <v>0</v>
      </c>
      <c r="E465" t="str">
        <f t="shared" si="17"/>
        <v>X</v>
      </c>
    </row>
    <row r="466" spans="1:5" x14ac:dyDescent="0.3">
      <c r="A466">
        <f>vendors!B468</f>
        <v>0</v>
      </c>
      <c r="B466" s="5">
        <f>vendors!C468</f>
        <v>0</v>
      </c>
      <c r="D466">
        <f t="shared" si="16"/>
        <v>0</v>
      </c>
      <c r="E466" t="str">
        <f t="shared" si="17"/>
        <v>X</v>
      </c>
    </row>
    <row r="467" spans="1:5" x14ac:dyDescent="0.3">
      <c r="A467">
        <f>vendors!B469</f>
        <v>0</v>
      </c>
      <c r="B467" s="5">
        <f>vendors!C469</f>
        <v>0</v>
      </c>
      <c r="D467">
        <f t="shared" si="16"/>
        <v>0</v>
      </c>
      <c r="E467" t="str">
        <f t="shared" si="17"/>
        <v>X</v>
      </c>
    </row>
    <row r="468" spans="1:5" x14ac:dyDescent="0.3">
      <c r="A468">
        <f>vendors!B470</f>
        <v>0</v>
      </c>
      <c r="B468" s="5">
        <f>vendors!C470</f>
        <v>0</v>
      </c>
      <c r="D468">
        <f t="shared" si="16"/>
        <v>0</v>
      </c>
      <c r="E468" t="str">
        <f t="shared" si="17"/>
        <v>X</v>
      </c>
    </row>
    <row r="469" spans="1:5" x14ac:dyDescent="0.3">
      <c r="A469">
        <f>vendors!B471</f>
        <v>0</v>
      </c>
      <c r="B469" s="5">
        <f>vendors!C471</f>
        <v>0</v>
      </c>
      <c r="D469">
        <f t="shared" si="16"/>
        <v>0</v>
      </c>
      <c r="E469" t="str">
        <f t="shared" si="17"/>
        <v>X</v>
      </c>
    </row>
    <row r="470" spans="1:5" x14ac:dyDescent="0.3">
      <c r="A470">
        <f>vendors!B472</f>
        <v>0</v>
      </c>
      <c r="B470" s="5">
        <f>vendors!C472</f>
        <v>0</v>
      </c>
      <c r="D470">
        <f t="shared" si="16"/>
        <v>0</v>
      </c>
      <c r="E470" t="str">
        <f t="shared" si="17"/>
        <v>X</v>
      </c>
    </row>
    <row r="471" spans="1:5" x14ac:dyDescent="0.3">
      <c r="A471">
        <f>vendors!B473</f>
        <v>0</v>
      </c>
      <c r="B471" s="5">
        <f>vendors!C473</f>
        <v>0</v>
      </c>
      <c r="D471">
        <f t="shared" si="16"/>
        <v>0</v>
      </c>
      <c r="E471" t="str">
        <f t="shared" si="17"/>
        <v>X</v>
      </c>
    </row>
    <row r="472" spans="1:5" x14ac:dyDescent="0.3">
      <c r="A472">
        <f>vendors!B474</f>
        <v>0</v>
      </c>
      <c r="B472" s="5">
        <f>vendors!C474</f>
        <v>0</v>
      </c>
      <c r="D472">
        <f t="shared" si="16"/>
        <v>0</v>
      </c>
      <c r="E472" t="str">
        <f t="shared" si="17"/>
        <v>X</v>
      </c>
    </row>
    <row r="473" spans="1:5" x14ac:dyDescent="0.3">
      <c r="A473">
        <f>vendors!B475</f>
        <v>0</v>
      </c>
      <c r="B473" s="5">
        <f>vendors!C475</f>
        <v>0</v>
      </c>
      <c r="D473">
        <f t="shared" si="16"/>
        <v>0</v>
      </c>
      <c r="E473" t="str">
        <f t="shared" si="17"/>
        <v>X</v>
      </c>
    </row>
    <row r="474" spans="1:5" x14ac:dyDescent="0.3">
      <c r="A474">
        <f>vendors!B476</f>
        <v>0</v>
      </c>
      <c r="B474" s="5">
        <f>vendors!C476</f>
        <v>0</v>
      </c>
      <c r="D474">
        <f t="shared" si="16"/>
        <v>0</v>
      </c>
      <c r="E474" t="str">
        <f t="shared" si="17"/>
        <v>X</v>
      </c>
    </row>
    <row r="475" spans="1:5" x14ac:dyDescent="0.3">
      <c r="A475">
        <f>vendors!B477</f>
        <v>0</v>
      </c>
      <c r="B475" s="5">
        <f>vendors!C477</f>
        <v>0</v>
      </c>
      <c r="D475">
        <f t="shared" si="16"/>
        <v>0</v>
      </c>
      <c r="E475" t="str">
        <f t="shared" si="17"/>
        <v>X</v>
      </c>
    </row>
    <row r="476" spans="1:5" x14ac:dyDescent="0.3">
      <c r="A476">
        <f>vendors!B478</f>
        <v>0</v>
      </c>
      <c r="B476" s="5">
        <f>vendors!C478</f>
        <v>0</v>
      </c>
      <c r="D476">
        <f t="shared" si="16"/>
        <v>0</v>
      </c>
      <c r="E476" t="str">
        <f t="shared" si="17"/>
        <v>X</v>
      </c>
    </row>
    <row r="477" spans="1:5" x14ac:dyDescent="0.3">
      <c r="A477">
        <f>vendors!B479</f>
        <v>0</v>
      </c>
      <c r="B477" s="5">
        <f>vendors!C479</f>
        <v>0</v>
      </c>
      <c r="D477">
        <f t="shared" si="16"/>
        <v>0</v>
      </c>
      <c r="E477" t="str">
        <f t="shared" si="17"/>
        <v>X</v>
      </c>
    </row>
    <row r="478" spans="1:5" x14ac:dyDescent="0.3">
      <c r="A478">
        <f>vendors!B480</f>
        <v>0</v>
      </c>
      <c r="B478" s="5">
        <f>vendors!C480</f>
        <v>0</v>
      </c>
      <c r="D478">
        <f t="shared" si="16"/>
        <v>0</v>
      </c>
      <c r="E478" t="str">
        <f t="shared" si="17"/>
        <v>X</v>
      </c>
    </row>
    <row r="479" spans="1:5" x14ac:dyDescent="0.3">
      <c r="A479">
        <f>vendors!B481</f>
        <v>0</v>
      </c>
      <c r="B479" s="5">
        <f>vendors!C481</f>
        <v>0</v>
      </c>
      <c r="D479">
        <f t="shared" si="16"/>
        <v>0</v>
      </c>
      <c r="E479" t="str">
        <f t="shared" si="17"/>
        <v>X</v>
      </c>
    </row>
    <row r="480" spans="1:5" x14ac:dyDescent="0.3">
      <c r="A480">
        <f>vendors!B482</f>
        <v>0</v>
      </c>
      <c r="B480" s="5">
        <f>vendors!C482</f>
        <v>0</v>
      </c>
      <c r="D480">
        <f t="shared" si="16"/>
        <v>0</v>
      </c>
      <c r="E480" t="str">
        <f t="shared" si="17"/>
        <v>X</v>
      </c>
    </row>
    <row r="481" spans="1:5" x14ac:dyDescent="0.3">
      <c r="A481">
        <f>vendors!B483</f>
        <v>0</v>
      </c>
      <c r="B481" s="5">
        <f>vendors!C483</f>
        <v>0</v>
      </c>
      <c r="D481">
        <f t="shared" si="16"/>
        <v>0</v>
      </c>
      <c r="E481" t="str">
        <f t="shared" si="17"/>
        <v>X</v>
      </c>
    </row>
    <row r="482" spans="1:5" x14ac:dyDescent="0.3">
      <c r="A482">
        <f>vendors!B484</f>
        <v>0</v>
      </c>
      <c r="B482" s="5">
        <f>vendors!C484</f>
        <v>0</v>
      </c>
      <c r="D482">
        <f t="shared" si="16"/>
        <v>0</v>
      </c>
      <c r="E482" t="str">
        <f t="shared" si="17"/>
        <v>X</v>
      </c>
    </row>
    <row r="483" spans="1:5" x14ac:dyDescent="0.3">
      <c r="A483">
        <f>vendors!B485</f>
        <v>0</v>
      </c>
      <c r="B483" s="5">
        <f>vendors!C485</f>
        <v>0</v>
      </c>
      <c r="D483">
        <f t="shared" si="16"/>
        <v>0</v>
      </c>
      <c r="E483" t="str">
        <f t="shared" si="17"/>
        <v>X</v>
      </c>
    </row>
    <row r="484" spans="1:5" x14ac:dyDescent="0.3">
      <c r="A484">
        <f>vendors!B486</f>
        <v>0</v>
      </c>
      <c r="B484" s="5">
        <f>vendors!C486</f>
        <v>0</v>
      </c>
      <c r="D484">
        <f t="shared" si="16"/>
        <v>0</v>
      </c>
      <c r="E484" t="str">
        <f t="shared" si="17"/>
        <v>X</v>
      </c>
    </row>
    <row r="485" spans="1:5" x14ac:dyDescent="0.3">
      <c r="A485">
        <f>vendors!B487</f>
        <v>0</v>
      </c>
      <c r="B485" s="5">
        <f>vendors!C487</f>
        <v>0</v>
      </c>
      <c r="D485">
        <f t="shared" si="16"/>
        <v>0</v>
      </c>
      <c r="E485" t="str">
        <f t="shared" si="17"/>
        <v>X</v>
      </c>
    </row>
    <row r="486" spans="1:5" x14ac:dyDescent="0.3">
      <c r="A486">
        <f>vendors!B488</f>
        <v>0</v>
      </c>
      <c r="B486" s="5">
        <f>vendors!C488</f>
        <v>0</v>
      </c>
      <c r="D486">
        <f t="shared" si="16"/>
        <v>0</v>
      </c>
      <c r="E486" t="str">
        <f t="shared" si="17"/>
        <v>X</v>
      </c>
    </row>
    <row r="487" spans="1:5" x14ac:dyDescent="0.3">
      <c r="A487">
        <f>vendors!B489</f>
        <v>0</v>
      </c>
      <c r="B487" s="5">
        <f>vendors!C489</f>
        <v>0</v>
      </c>
      <c r="D487">
        <f t="shared" si="16"/>
        <v>0</v>
      </c>
      <c r="E487" t="str">
        <f t="shared" si="17"/>
        <v>X</v>
      </c>
    </row>
    <row r="488" spans="1:5" x14ac:dyDescent="0.3">
      <c r="A488">
        <f>vendors!B490</f>
        <v>0</v>
      </c>
      <c r="B488" s="5">
        <f>vendors!C490</f>
        <v>0</v>
      </c>
      <c r="D488">
        <f t="shared" si="16"/>
        <v>0</v>
      </c>
      <c r="E488" t="str">
        <f t="shared" si="17"/>
        <v>X</v>
      </c>
    </row>
    <row r="489" spans="1:5" x14ac:dyDescent="0.3">
      <c r="A489">
        <f>vendors!B491</f>
        <v>0</v>
      </c>
      <c r="B489" s="5">
        <f>vendors!C491</f>
        <v>0</v>
      </c>
      <c r="D489">
        <f t="shared" si="16"/>
        <v>0</v>
      </c>
      <c r="E489" t="str">
        <f t="shared" si="17"/>
        <v>X</v>
      </c>
    </row>
    <row r="490" spans="1:5" x14ac:dyDescent="0.3">
      <c r="A490">
        <f>vendors!B492</f>
        <v>0</v>
      </c>
      <c r="B490" s="5">
        <f>vendors!C492</f>
        <v>0</v>
      </c>
      <c r="D490">
        <f t="shared" si="16"/>
        <v>0</v>
      </c>
      <c r="E490" t="str">
        <f t="shared" si="17"/>
        <v>X</v>
      </c>
    </row>
    <row r="491" spans="1:5" x14ac:dyDescent="0.3">
      <c r="A491">
        <f>vendors!B493</f>
        <v>0</v>
      </c>
      <c r="B491" s="5">
        <f>vendors!C493</f>
        <v>0</v>
      </c>
      <c r="D491">
        <f t="shared" si="16"/>
        <v>0</v>
      </c>
      <c r="E491" t="str">
        <f t="shared" si="17"/>
        <v>X</v>
      </c>
    </row>
    <row r="492" spans="1:5" x14ac:dyDescent="0.3">
      <c r="A492">
        <f>vendors!B494</f>
        <v>0</v>
      </c>
      <c r="B492" s="5">
        <f>vendors!C494</f>
        <v>0</v>
      </c>
      <c r="D492">
        <f t="shared" si="16"/>
        <v>0</v>
      </c>
      <c r="E492" t="str">
        <f t="shared" si="17"/>
        <v>X</v>
      </c>
    </row>
    <row r="493" spans="1:5" x14ac:dyDescent="0.3">
      <c r="A493">
        <f>vendors!B495</f>
        <v>0</v>
      </c>
      <c r="B493" s="5">
        <f>vendors!C495</f>
        <v>0</v>
      </c>
      <c r="D493">
        <f t="shared" si="16"/>
        <v>0</v>
      </c>
      <c r="E493" t="str">
        <f t="shared" si="17"/>
        <v>X</v>
      </c>
    </row>
    <row r="494" spans="1:5" x14ac:dyDescent="0.3">
      <c r="A494">
        <f>vendors!B496</f>
        <v>0</v>
      </c>
      <c r="B494" s="5">
        <f>vendors!C496</f>
        <v>0</v>
      </c>
      <c r="D494">
        <f t="shared" si="16"/>
        <v>0</v>
      </c>
      <c r="E494" t="str">
        <f t="shared" si="17"/>
        <v>X</v>
      </c>
    </row>
    <row r="495" spans="1:5" x14ac:dyDescent="0.3">
      <c r="A495">
        <f>vendors!B497</f>
        <v>0</v>
      </c>
      <c r="B495" s="5">
        <f>vendors!C497</f>
        <v>0</v>
      </c>
      <c r="D495">
        <f t="shared" si="16"/>
        <v>0</v>
      </c>
      <c r="E495" t="str">
        <f t="shared" si="17"/>
        <v>X</v>
      </c>
    </row>
    <row r="496" spans="1:5" x14ac:dyDescent="0.3">
      <c r="A496">
        <f>vendors!B498</f>
        <v>0</v>
      </c>
      <c r="B496" s="5">
        <f>vendors!C498</f>
        <v>0</v>
      </c>
      <c r="D496">
        <f t="shared" si="16"/>
        <v>0</v>
      </c>
      <c r="E496" t="str">
        <f t="shared" si="17"/>
        <v>X</v>
      </c>
    </row>
    <row r="497" spans="1:5" x14ac:dyDescent="0.3">
      <c r="A497">
        <f>vendors!B499</f>
        <v>0</v>
      </c>
      <c r="B497" s="5">
        <f>vendors!C499</f>
        <v>0</v>
      </c>
      <c r="D497">
        <f t="shared" si="16"/>
        <v>0</v>
      </c>
      <c r="E497" t="str">
        <f t="shared" si="17"/>
        <v>X</v>
      </c>
    </row>
    <row r="498" spans="1:5" x14ac:dyDescent="0.3">
      <c r="A498">
        <f>vendors!B500</f>
        <v>0</v>
      </c>
      <c r="B498" s="5">
        <f>vendors!C500</f>
        <v>0</v>
      </c>
      <c r="D498">
        <f t="shared" si="16"/>
        <v>0</v>
      </c>
      <c r="E498" t="str">
        <f t="shared" si="17"/>
        <v>X</v>
      </c>
    </row>
    <row r="499" spans="1:5" x14ac:dyDescent="0.3">
      <c r="A499">
        <f>vendors!B501</f>
        <v>0</v>
      </c>
      <c r="B499" s="5">
        <f>vendors!C501</f>
        <v>0</v>
      </c>
      <c r="D499">
        <f t="shared" si="16"/>
        <v>0</v>
      </c>
      <c r="E499" t="str">
        <f t="shared" si="17"/>
        <v>X</v>
      </c>
    </row>
    <row r="500" spans="1:5" x14ac:dyDescent="0.3">
      <c r="A500">
        <f>vendors!B502</f>
        <v>0</v>
      </c>
      <c r="B500" s="5">
        <f>vendors!C502</f>
        <v>0</v>
      </c>
      <c r="D500">
        <f t="shared" si="16"/>
        <v>0</v>
      </c>
      <c r="E500" t="str">
        <f t="shared" si="17"/>
        <v>X</v>
      </c>
    </row>
    <row r="501" spans="1:5" x14ac:dyDescent="0.3">
      <c r="A501">
        <f>vendors!B503</f>
        <v>0</v>
      </c>
      <c r="B501" s="5">
        <f>vendors!C503</f>
        <v>0</v>
      </c>
      <c r="D501">
        <f t="shared" si="16"/>
        <v>0</v>
      </c>
      <c r="E501" t="str">
        <f t="shared" si="17"/>
        <v>X</v>
      </c>
    </row>
    <row r="502" spans="1:5" x14ac:dyDescent="0.3">
      <c r="A502">
        <f>vendors!B504</f>
        <v>0</v>
      </c>
      <c r="B502" s="5">
        <f>vendors!C504</f>
        <v>0</v>
      </c>
      <c r="D502">
        <f t="shared" si="16"/>
        <v>0</v>
      </c>
      <c r="E502" t="str">
        <f t="shared" si="17"/>
        <v>X</v>
      </c>
    </row>
    <row r="503" spans="1:5" x14ac:dyDescent="0.3">
      <c r="A503">
        <f>vendors!B505</f>
        <v>0</v>
      </c>
      <c r="B503" s="5">
        <f>vendors!C505</f>
        <v>0</v>
      </c>
      <c r="D503">
        <f t="shared" si="16"/>
        <v>0</v>
      </c>
      <c r="E503" t="str">
        <f t="shared" si="17"/>
        <v>X</v>
      </c>
    </row>
    <row r="504" spans="1:5" x14ac:dyDescent="0.3">
      <c r="A504">
        <f>vendors!B506</f>
        <v>0</v>
      </c>
      <c r="B504" s="5">
        <f>vendors!C506</f>
        <v>0</v>
      </c>
      <c r="D504">
        <f t="shared" si="16"/>
        <v>0</v>
      </c>
      <c r="E504" t="str">
        <f t="shared" si="17"/>
        <v>X</v>
      </c>
    </row>
    <row r="505" spans="1:5" x14ac:dyDescent="0.3">
      <c r="A505">
        <f>vendors!B507</f>
        <v>0</v>
      </c>
      <c r="B505" s="5">
        <f>vendors!C507</f>
        <v>0</v>
      </c>
      <c r="D505">
        <f t="shared" si="16"/>
        <v>0</v>
      </c>
      <c r="E505" t="str">
        <f t="shared" si="17"/>
        <v>X</v>
      </c>
    </row>
    <row r="506" spans="1:5" x14ac:dyDescent="0.3">
      <c r="A506">
        <f>vendors!B508</f>
        <v>0</v>
      </c>
      <c r="B506" s="5">
        <f>vendors!C508</f>
        <v>0</v>
      </c>
      <c r="D506">
        <f t="shared" si="16"/>
        <v>0</v>
      </c>
      <c r="E506" t="str">
        <f t="shared" si="17"/>
        <v>X</v>
      </c>
    </row>
    <row r="507" spans="1:5" x14ac:dyDescent="0.3">
      <c r="A507">
        <f>vendors!B509</f>
        <v>0</v>
      </c>
      <c r="B507" s="5">
        <f>vendors!C509</f>
        <v>0</v>
      </c>
      <c r="D507">
        <f t="shared" si="16"/>
        <v>0</v>
      </c>
      <c r="E507" t="str">
        <f t="shared" si="17"/>
        <v>X</v>
      </c>
    </row>
    <row r="508" spans="1:5" x14ac:dyDescent="0.3">
      <c r="A508">
        <f>vendors!B510</f>
        <v>0</v>
      </c>
      <c r="B508" s="5">
        <f>vendors!C510</f>
        <v>0</v>
      </c>
      <c r="D508">
        <f t="shared" si="16"/>
        <v>0</v>
      </c>
      <c r="E508" t="str">
        <f t="shared" si="17"/>
        <v>X</v>
      </c>
    </row>
    <row r="509" spans="1:5" x14ac:dyDescent="0.3">
      <c r="A509">
        <f>vendors!B511</f>
        <v>0</v>
      </c>
      <c r="B509" s="5">
        <f>vendors!C511</f>
        <v>0</v>
      </c>
      <c r="D509">
        <f t="shared" si="16"/>
        <v>0</v>
      </c>
      <c r="E509" t="str">
        <f t="shared" si="17"/>
        <v>X</v>
      </c>
    </row>
    <row r="510" spans="1:5" x14ac:dyDescent="0.3">
      <c r="A510">
        <f>vendors!B512</f>
        <v>0</v>
      </c>
      <c r="B510" s="5">
        <f>vendors!C512</f>
        <v>0</v>
      </c>
      <c r="D510">
        <f t="shared" si="16"/>
        <v>0</v>
      </c>
      <c r="E510" t="str">
        <f t="shared" si="17"/>
        <v>X</v>
      </c>
    </row>
    <row r="511" spans="1:5" x14ac:dyDescent="0.3">
      <c r="A511">
        <f>vendors!B513</f>
        <v>0</v>
      </c>
      <c r="B511" s="5">
        <f>vendors!C513</f>
        <v>0</v>
      </c>
      <c r="D511">
        <f t="shared" si="16"/>
        <v>0</v>
      </c>
      <c r="E511" t="str">
        <f t="shared" si="17"/>
        <v>X</v>
      </c>
    </row>
    <row r="512" spans="1:5" x14ac:dyDescent="0.3">
      <c r="A512">
        <f>vendors!B514</f>
        <v>0</v>
      </c>
      <c r="B512" s="5">
        <f>vendors!C514</f>
        <v>0</v>
      </c>
      <c r="D512">
        <f t="shared" si="16"/>
        <v>0</v>
      </c>
      <c r="E512" t="str">
        <f t="shared" si="17"/>
        <v>X</v>
      </c>
    </row>
    <row r="513" spans="1:5" x14ac:dyDescent="0.3">
      <c r="A513">
        <f>vendors!B515</f>
        <v>0</v>
      </c>
      <c r="B513" s="5">
        <f>vendors!C515</f>
        <v>0</v>
      </c>
      <c r="D513">
        <f t="shared" si="16"/>
        <v>0</v>
      </c>
      <c r="E513" t="str">
        <f t="shared" si="17"/>
        <v>X</v>
      </c>
    </row>
    <row r="514" spans="1:5" x14ac:dyDescent="0.3">
      <c r="A514">
        <f>vendors!B516</f>
        <v>0</v>
      </c>
      <c r="B514" s="5">
        <f>vendors!C516</f>
        <v>0</v>
      </c>
      <c r="D514">
        <f t="shared" si="16"/>
        <v>0</v>
      </c>
      <c r="E514" t="str">
        <f t="shared" si="17"/>
        <v>X</v>
      </c>
    </row>
    <row r="515" spans="1:5" x14ac:dyDescent="0.3">
      <c r="A515">
        <f>vendors!B517</f>
        <v>0</v>
      </c>
      <c r="B515" s="5">
        <f>vendors!C517</f>
        <v>0</v>
      </c>
      <c r="D515">
        <f t="shared" ref="D515:D578" si="18">C515*B515</f>
        <v>0</v>
      </c>
      <c r="E515" t="str">
        <f t="shared" ref="E515:E578" si="19">IF(C515&lt;500, "X", "")</f>
        <v>X</v>
      </c>
    </row>
    <row r="516" spans="1:5" x14ac:dyDescent="0.3">
      <c r="A516">
        <f>vendors!B518</f>
        <v>0</v>
      </c>
      <c r="B516" s="5">
        <f>vendors!C518</f>
        <v>0</v>
      </c>
      <c r="D516">
        <f t="shared" si="18"/>
        <v>0</v>
      </c>
      <c r="E516" t="str">
        <f t="shared" si="19"/>
        <v>X</v>
      </c>
    </row>
    <row r="517" spans="1:5" x14ac:dyDescent="0.3">
      <c r="A517">
        <f>vendors!B519</f>
        <v>0</v>
      </c>
      <c r="B517" s="5">
        <f>vendors!C519</f>
        <v>0</v>
      </c>
      <c r="D517">
        <f t="shared" si="18"/>
        <v>0</v>
      </c>
      <c r="E517" t="str">
        <f t="shared" si="19"/>
        <v>X</v>
      </c>
    </row>
    <row r="518" spans="1:5" x14ac:dyDescent="0.3">
      <c r="A518">
        <f>vendors!B520</f>
        <v>0</v>
      </c>
      <c r="B518" s="5">
        <f>vendors!C520</f>
        <v>0</v>
      </c>
      <c r="D518">
        <f t="shared" si="18"/>
        <v>0</v>
      </c>
      <c r="E518" t="str">
        <f t="shared" si="19"/>
        <v>X</v>
      </c>
    </row>
    <row r="519" spans="1:5" x14ac:dyDescent="0.3">
      <c r="A519">
        <f>vendors!B521</f>
        <v>0</v>
      </c>
      <c r="B519" s="5">
        <f>vendors!C521</f>
        <v>0</v>
      </c>
      <c r="D519">
        <f t="shared" si="18"/>
        <v>0</v>
      </c>
      <c r="E519" t="str">
        <f t="shared" si="19"/>
        <v>X</v>
      </c>
    </row>
    <row r="520" spans="1:5" x14ac:dyDescent="0.3">
      <c r="A520">
        <f>vendors!B522</f>
        <v>0</v>
      </c>
      <c r="B520" s="5">
        <f>vendors!C522</f>
        <v>0</v>
      </c>
      <c r="D520">
        <f t="shared" si="18"/>
        <v>0</v>
      </c>
      <c r="E520" t="str">
        <f t="shared" si="19"/>
        <v>X</v>
      </c>
    </row>
    <row r="521" spans="1:5" x14ac:dyDescent="0.3">
      <c r="A521">
        <f>vendors!B523</f>
        <v>0</v>
      </c>
      <c r="B521" s="5">
        <f>vendors!C523</f>
        <v>0</v>
      </c>
      <c r="D521">
        <f t="shared" si="18"/>
        <v>0</v>
      </c>
      <c r="E521" t="str">
        <f t="shared" si="19"/>
        <v>X</v>
      </c>
    </row>
    <row r="522" spans="1:5" x14ac:dyDescent="0.3">
      <c r="A522">
        <f>vendors!B524</f>
        <v>0</v>
      </c>
      <c r="B522" s="5">
        <f>vendors!C524</f>
        <v>0</v>
      </c>
      <c r="D522">
        <f t="shared" si="18"/>
        <v>0</v>
      </c>
      <c r="E522" t="str">
        <f t="shared" si="19"/>
        <v>X</v>
      </c>
    </row>
    <row r="523" spans="1:5" x14ac:dyDescent="0.3">
      <c r="A523">
        <f>vendors!B525</f>
        <v>0</v>
      </c>
      <c r="B523" s="5">
        <f>vendors!C525</f>
        <v>0</v>
      </c>
      <c r="D523">
        <f t="shared" si="18"/>
        <v>0</v>
      </c>
      <c r="E523" t="str">
        <f t="shared" si="19"/>
        <v>X</v>
      </c>
    </row>
    <row r="524" spans="1:5" x14ac:dyDescent="0.3">
      <c r="A524">
        <f>vendors!B526</f>
        <v>0</v>
      </c>
      <c r="B524" s="5">
        <f>vendors!C526</f>
        <v>0</v>
      </c>
      <c r="D524">
        <f t="shared" si="18"/>
        <v>0</v>
      </c>
      <c r="E524" t="str">
        <f t="shared" si="19"/>
        <v>X</v>
      </c>
    </row>
    <row r="525" spans="1:5" x14ac:dyDescent="0.3">
      <c r="A525">
        <f>vendors!B527</f>
        <v>0</v>
      </c>
      <c r="B525" s="5">
        <f>vendors!C527</f>
        <v>0</v>
      </c>
      <c r="D525">
        <f t="shared" si="18"/>
        <v>0</v>
      </c>
      <c r="E525" t="str">
        <f t="shared" si="19"/>
        <v>X</v>
      </c>
    </row>
    <row r="526" spans="1:5" x14ac:dyDescent="0.3">
      <c r="A526">
        <f>vendors!B528</f>
        <v>0</v>
      </c>
      <c r="B526" s="5">
        <f>vendors!C528</f>
        <v>0</v>
      </c>
      <c r="D526">
        <f t="shared" si="18"/>
        <v>0</v>
      </c>
      <c r="E526" t="str">
        <f t="shared" si="19"/>
        <v>X</v>
      </c>
    </row>
    <row r="527" spans="1:5" x14ac:dyDescent="0.3">
      <c r="A527">
        <f>vendors!B529</f>
        <v>0</v>
      </c>
      <c r="B527" s="5">
        <f>vendors!C529</f>
        <v>0</v>
      </c>
      <c r="D527">
        <f t="shared" si="18"/>
        <v>0</v>
      </c>
      <c r="E527" t="str">
        <f t="shared" si="19"/>
        <v>X</v>
      </c>
    </row>
    <row r="528" spans="1:5" x14ac:dyDescent="0.3">
      <c r="A528">
        <f>vendors!B530</f>
        <v>0</v>
      </c>
      <c r="B528" s="5">
        <f>vendors!C530</f>
        <v>0</v>
      </c>
      <c r="D528">
        <f t="shared" si="18"/>
        <v>0</v>
      </c>
      <c r="E528" t="str">
        <f t="shared" si="19"/>
        <v>X</v>
      </c>
    </row>
    <row r="529" spans="1:5" x14ac:dyDescent="0.3">
      <c r="A529">
        <f>vendors!B531</f>
        <v>0</v>
      </c>
      <c r="B529" s="5">
        <f>vendors!C531</f>
        <v>0</v>
      </c>
      <c r="D529">
        <f t="shared" si="18"/>
        <v>0</v>
      </c>
      <c r="E529" t="str">
        <f t="shared" si="19"/>
        <v>X</v>
      </c>
    </row>
    <row r="530" spans="1:5" x14ac:dyDescent="0.3">
      <c r="A530">
        <f>vendors!B532</f>
        <v>0</v>
      </c>
      <c r="B530" s="5">
        <f>vendors!C532</f>
        <v>0</v>
      </c>
      <c r="D530">
        <f t="shared" si="18"/>
        <v>0</v>
      </c>
      <c r="E530" t="str">
        <f t="shared" si="19"/>
        <v>X</v>
      </c>
    </row>
    <row r="531" spans="1:5" x14ac:dyDescent="0.3">
      <c r="A531">
        <f>vendors!B533</f>
        <v>0</v>
      </c>
      <c r="B531" s="5">
        <f>vendors!C533</f>
        <v>0</v>
      </c>
      <c r="D531">
        <f t="shared" si="18"/>
        <v>0</v>
      </c>
      <c r="E531" t="str">
        <f t="shared" si="19"/>
        <v>X</v>
      </c>
    </row>
    <row r="532" spans="1:5" x14ac:dyDescent="0.3">
      <c r="A532">
        <f>vendors!B534</f>
        <v>0</v>
      </c>
      <c r="B532" s="5">
        <f>vendors!C534</f>
        <v>0</v>
      </c>
      <c r="D532">
        <f t="shared" si="18"/>
        <v>0</v>
      </c>
      <c r="E532" t="str">
        <f t="shared" si="19"/>
        <v>X</v>
      </c>
    </row>
    <row r="533" spans="1:5" x14ac:dyDescent="0.3">
      <c r="A533">
        <f>vendors!B535</f>
        <v>0</v>
      </c>
      <c r="B533" s="5">
        <f>vendors!C535</f>
        <v>0</v>
      </c>
      <c r="D533">
        <f t="shared" si="18"/>
        <v>0</v>
      </c>
      <c r="E533" t="str">
        <f t="shared" si="19"/>
        <v>X</v>
      </c>
    </row>
    <row r="534" spans="1:5" x14ac:dyDescent="0.3">
      <c r="A534">
        <f>vendors!B536</f>
        <v>0</v>
      </c>
      <c r="B534" s="5">
        <f>vendors!C536</f>
        <v>0</v>
      </c>
      <c r="D534">
        <f t="shared" si="18"/>
        <v>0</v>
      </c>
      <c r="E534" t="str">
        <f t="shared" si="19"/>
        <v>X</v>
      </c>
    </row>
    <row r="535" spans="1:5" x14ac:dyDescent="0.3">
      <c r="A535">
        <f>vendors!B537</f>
        <v>0</v>
      </c>
      <c r="B535" s="5">
        <f>vendors!C537</f>
        <v>0</v>
      </c>
      <c r="D535">
        <f t="shared" si="18"/>
        <v>0</v>
      </c>
      <c r="E535" t="str">
        <f t="shared" si="19"/>
        <v>X</v>
      </c>
    </row>
    <row r="536" spans="1:5" x14ac:dyDescent="0.3">
      <c r="A536">
        <f>vendors!B538</f>
        <v>0</v>
      </c>
      <c r="B536" s="5">
        <f>vendors!C538</f>
        <v>0</v>
      </c>
      <c r="D536">
        <f t="shared" si="18"/>
        <v>0</v>
      </c>
      <c r="E536" t="str">
        <f t="shared" si="19"/>
        <v>X</v>
      </c>
    </row>
    <row r="537" spans="1:5" x14ac:dyDescent="0.3">
      <c r="A537">
        <f>vendors!B539</f>
        <v>0</v>
      </c>
      <c r="B537" s="5">
        <f>vendors!C539</f>
        <v>0</v>
      </c>
      <c r="D537">
        <f t="shared" si="18"/>
        <v>0</v>
      </c>
      <c r="E537" t="str">
        <f t="shared" si="19"/>
        <v>X</v>
      </c>
    </row>
    <row r="538" spans="1:5" x14ac:dyDescent="0.3">
      <c r="A538">
        <f>vendors!B540</f>
        <v>0</v>
      </c>
      <c r="B538" s="5">
        <f>vendors!C540</f>
        <v>0</v>
      </c>
      <c r="D538">
        <f t="shared" si="18"/>
        <v>0</v>
      </c>
      <c r="E538" t="str">
        <f t="shared" si="19"/>
        <v>X</v>
      </c>
    </row>
    <row r="539" spans="1:5" x14ac:dyDescent="0.3">
      <c r="A539">
        <f>vendors!B541</f>
        <v>0</v>
      </c>
      <c r="B539" s="5">
        <f>vendors!C541</f>
        <v>0</v>
      </c>
      <c r="D539">
        <f t="shared" si="18"/>
        <v>0</v>
      </c>
      <c r="E539" t="str">
        <f t="shared" si="19"/>
        <v>X</v>
      </c>
    </row>
    <row r="540" spans="1:5" x14ac:dyDescent="0.3">
      <c r="A540">
        <f>vendors!B542</f>
        <v>0</v>
      </c>
      <c r="B540" s="5">
        <f>vendors!C542</f>
        <v>0</v>
      </c>
      <c r="D540">
        <f t="shared" si="18"/>
        <v>0</v>
      </c>
      <c r="E540" t="str">
        <f t="shared" si="19"/>
        <v>X</v>
      </c>
    </row>
    <row r="541" spans="1:5" x14ac:dyDescent="0.3">
      <c r="A541">
        <f>vendors!B543</f>
        <v>0</v>
      </c>
      <c r="B541" s="5">
        <f>vendors!C543</f>
        <v>0</v>
      </c>
      <c r="D541">
        <f t="shared" si="18"/>
        <v>0</v>
      </c>
      <c r="E541" t="str">
        <f t="shared" si="19"/>
        <v>X</v>
      </c>
    </row>
    <row r="542" spans="1:5" x14ac:dyDescent="0.3">
      <c r="A542">
        <f>vendors!B544</f>
        <v>0</v>
      </c>
      <c r="B542" s="5">
        <f>vendors!C544</f>
        <v>0</v>
      </c>
      <c r="D542">
        <f t="shared" si="18"/>
        <v>0</v>
      </c>
      <c r="E542" t="str">
        <f t="shared" si="19"/>
        <v>X</v>
      </c>
    </row>
    <row r="543" spans="1:5" x14ac:dyDescent="0.3">
      <c r="A543">
        <f>vendors!B545</f>
        <v>0</v>
      </c>
      <c r="B543" s="5">
        <f>vendors!C545</f>
        <v>0</v>
      </c>
      <c r="D543">
        <f t="shared" si="18"/>
        <v>0</v>
      </c>
      <c r="E543" t="str">
        <f t="shared" si="19"/>
        <v>X</v>
      </c>
    </row>
    <row r="544" spans="1:5" x14ac:dyDescent="0.3">
      <c r="A544">
        <f>vendors!B546</f>
        <v>0</v>
      </c>
      <c r="B544" s="5">
        <f>vendors!C546</f>
        <v>0</v>
      </c>
      <c r="D544">
        <f t="shared" si="18"/>
        <v>0</v>
      </c>
      <c r="E544" t="str">
        <f t="shared" si="19"/>
        <v>X</v>
      </c>
    </row>
    <row r="545" spans="1:5" x14ac:dyDescent="0.3">
      <c r="A545">
        <f>vendors!B547</f>
        <v>0</v>
      </c>
      <c r="B545" s="5">
        <f>vendors!C547</f>
        <v>0</v>
      </c>
      <c r="D545">
        <f t="shared" si="18"/>
        <v>0</v>
      </c>
      <c r="E545" t="str">
        <f t="shared" si="19"/>
        <v>X</v>
      </c>
    </row>
    <row r="546" spans="1:5" x14ac:dyDescent="0.3">
      <c r="A546">
        <f>vendors!B548</f>
        <v>0</v>
      </c>
      <c r="B546" s="5">
        <f>vendors!C548</f>
        <v>0</v>
      </c>
      <c r="D546">
        <f t="shared" si="18"/>
        <v>0</v>
      </c>
      <c r="E546" t="str">
        <f t="shared" si="19"/>
        <v>X</v>
      </c>
    </row>
    <row r="547" spans="1:5" x14ac:dyDescent="0.3">
      <c r="A547">
        <f>vendors!B549</f>
        <v>0</v>
      </c>
      <c r="B547" s="5">
        <f>vendors!C549</f>
        <v>0</v>
      </c>
      <c r="D547">
        <f t="shared" si="18"/>
        <v>0</v>
      </c>
      <c r="E547" t="str">
        <f t="shared" si="19"/>
        <v>X</v>
      </c>
    </row>
    <row r="548" spans="1:5" x14ac:dyDescent="0.3">
      <c r="A548">
        <f>vendors!B550</f>
        <v>0</v>
      </c>
      <c r="B548" s="5">
        <f>vendors!C550</f>
        <v>0</v>
      </c>
      <c r="D548">
        <f t="shared" si="18"/>
        <v>0</v>
      </c>
      <c r="E548" t="str">
        <f t="shared" si="19"/>
        <v>X</v>
      </c>
    </row>
    <row r="549" spans="1:5" x14ac:dyDescent="0.3">
      <c r="A549">
        <f>vendors!B551</f>
        <v>0</v>
      </c>
      <c r="B549" s="5">
        <f>vendors!C551</f>
        <v>0</v>
      </c>
      <c r="D549">
        <f t="shared" si="18"/>
        <v>0</v>
      </c>
      <c r="E549" t="str">
        <f t="shared" si="19"/>
        <v>X</v>
      </c>
    </row>
    <row r="550" spans="1:5" x14ac:dyDescent="0.3">
      <c r="A550">
        <f>vendors!B552</f>
        <v>0</v>
      </c>
      <c r="B550" s="5">
        <f>vendors!C552</f>
        <v>0</v>
      </c>
      <c r="D550">
        <f t="shared" si="18"/>
        <v>0</v>
      </c>
      <c r="E550" t="str">
        <f t="shared" si="19"/>
        <v>X</v>
      </c>
    </row>
    <row r="551" spans="1:5" x14ac:dyDescent="0.3">
      <c r="A551">
        <f>vendors!B553</f>
        <v>0</v>
      </c>
      <c r="B551" s="5">
        <f>vendors!C553</f>
        <v>0</v>
      </c>
      <c r="D551">
        <f t="shared" si="18"/>
        <v>0</v>
      </c>
      <c r="E551" t="str">
        <f t="shared" si="19"/>
        <v>X</v>
      </c>
    </row>
    <row r="552" spans="1:5" x14ac:dyDescent="0.3">
      <c r="A552">
        <f>vendors!B554</f>
        <v>0</v>
      </c>
      <c r="B552" s="5">
        <f>vendors!C554</f>
        <v>0</v>
      </c>
      <c r="D552">
        <f t="shared" si="18"/>
        <v>0</v>
      </c>
      <c r="E552" t="str">
        <f t="shared" si="19"/>
        <v>X</v>
      </c>
    </row>
    <row r="553" spans="1:5" x14ac:dyDescent="0.3">
      <c r="A553">
        <f>vendors!B555</f>
        <v>0</v>
      </c>
      <c r="B553" s="5">
        <f>vendors!C555</f>
        <v>0</v>
      </c>
      <c r="D553">
        <f t="shared" si="18"/>
        <v>0</v>
      </c>
      <c r="E553" t="str">
        <f t="shared" si="19"/>
        <v>X</v>
      </c>
    </row>
    <row r="554" spans="1:5" x14ac:dyDescent="0.3">
      <c r="A554">
        <f>vendors!B556</f>
        <v>0</v>
      </c>
      <c r="B554" s="5">
        <f>vendors!C556</f>
        <v>0</v>
      </c>
      <c r="D554">
        <f t="shared" si="18"/>
        <v>0</v>
      </c>
      <c r="E554" t="str">
        <f t="shared" si="19"/>
        <v>X</v>
      </c>
    </row>
    <row r="555" spans="1:5" x14ac:dyDescent="0.3">
      <c r="A555">
        <f>vendors!B557</f>
        <v>0</v>
      </c>
      <c r="B555" s="5">
        <f>vendors!C557</f>
        <v>0</v>
      </c>
      <c r="D555">
        <f t="shared" si="18"/>
        <v>0</v>
      </c>
      <c r="E555" t="str">
        <f t="shared" si="19"/>
        <v>X</v>
      </c>
    </row>
    <row r="556" spans="1:5" x14ac:dyDescent="0.3">
      <c r="A556">
        <f>vendors!B558</f>
        <v>0</v>
      </c>
      <c r="B556" s="5">
        <f>vendors!C558</f>
        <v>0</v>
      </c>
      <c r="D556">
        <f t="shared" si="18"/>
        <v>0</v>
      </c>
      <c r="E556" t="str">
        <f t="shared" si="19"/>
        <v>X</v>
      </c>
    </row>
    <row r="557" spans="1:5" x14ac:dyDescent="0.3">
      <c r="A557">
        <f>vendors!B559</f>
        <v>0</v>
      </c>
      <c r="B557" s="5">
        <f>vendors!C559</f>
        <v>0</v>
      </c>
      <c r="D557">
        <f t="shared" si="18"/>
        <v>0</v>
      </c>
      <c r="E557" t="str">
        <f t="shared" si="19"/>
        <v>X</v>
      </c>
    </row>
    <row r="558" spans="1:5" x14ac:dyDescent="0.3">
      <c r="A558">
        <f>vendors!B560</f>
        <v>0</v>
      </c>
      <c r="B558" s="5">
        <f>vendors!C560</f>
        <v>0</v>
      </c>
      <c r="D558">
        <f t="shared" si="18"/>
        <v>0</v>
      </c>
      <c r="E558" t="str">
        <f t="shared" si="19"/>
        <v>X</v>
      </c>
    </row>
    <row r="559" spans="1:5" x14ac:dyDescent="0.3">
      <c r="A559">
        <f>vendors!B561</f>
        <v>0</v>
      </c>
      <c r="B559" s="5">
        <f>vendors!C561</f>
        <v>0</v>
      </c>
      <c r="D559">
        <f t="shared" si="18"/>
        <v>0</v>
      </c>
      <c r="E559" t="str">
        <f t="shared" si="19"/>
        <v>X</v>
      </c>
    </row>
    <row r="560" spans="1:5" x14ac:dyDescent="0.3">
      <c r="A560">
        <f>vendors!B562</f>
        <v>0</v>
      </c>
      <c r="B560" s="5">
        <f>vendors!C562</f>
        <v>0</v>
      </c>
      <c r="D560">
        <f t="shared" si="18"/>
        <v>0</v>
      </c>
      <c r="E560" t="str">
        <f t="shared" si="19"/>
        <v>X</v>
      </c>
    </row>
    <row r="561" spans="1:5" x14ac:dyDescent="0.3">
      <c r="A561">
        <f>vendors!B563</f>
        <v>0</v>
      </c>
      <c r="B561" s="5">
        <f>vendors!C563</f>
        <v>0</v>
      </c>
      <c r="D561">
        <f t="shared" si="18"/>
        <v>0</v>
      </c>
      <c r="E561" t="str">
        <f t="shared" si="19"/>
        <v>X</v>
      </c>
    </row>
    <row r="562" spans="1:5" x14ac:dyDescent="0.3">
      <c r="A562">
        <f>vendors!B564</f>
        <v>0</v>
      </c>
      <c r="B562" s="5">
        <f>vendors!C564</f>
        <v>0</v>
      </c>
      <c r="D562">
        <f t="shared" si="18"/>
        <v>0</v>
      </c>
      <c r="E562" t="str">
        <f t="shared" si="19"/>
        <v>X</v>
      </c>
    </row>
    <row r="563" spans="1:5" x14ac:dyDescent="0.3">
      <c r="A563">
        <f>vendors!B565</f>
        <v>0</v>
      </c>
      <c r="B563" s="5">
        <f>vendors!C565</f>
        <v>0</v>
      </c>
      <c r="D563">
        <f t="shared" si="18"/>
        <v>0</v>
      </c>
      <c r="E563" t="str">
        <f t="shared" si="19"/>
        <v>X</v>
      </c>
    </row>
    <row r="564" spans="1:5" x14ac:dyDescent="0.3">
      <c r="A564">
        <f>vendors!B566</f>
        <v>0</v>
      </c>
      <c r="B564" s="5">
        <f>vendors!C566</f>
        <v>0</v>
      </c>
      <c r="D564">
        <f t="shared" si="18"/>
        <v>0</v>
      </c>
      <c r="E564" t="str">
        <f t="shared" si="19"/>
        <v>X</v>
      </c>
    </row>
    <row r="565" spans="1:5" x14ac:dyDescent="0.3">
      <c r="A565">
        <f>vendors!B567</f>
        <v>0</v>
      </c>
      <c r="B565" s="5">
        <f>vendors!C567</f>
        <v>0</v>
      </c>
      <c r="D565">
        <f t="shared" si="18"/>
        <v>0</v>
      </c>
      <c r="E565" t="str">
        <f t="shared" si="19"/>
        <v>X</v>
      </c>
    </row>
    <row r="566" spans="1:5" x14ac:dyDescent="0.3">
      <c r="A566">
        <f>vendors!B568</f>
        <v>0</v>
      </c>
      <c r="B566" s="5">
        <f>vendors!C568</f>
        <v>0</v>
      </c>
      <c r="D566">
        <f t="shared" si="18"/>
        <v>0</v>
      </c>
      <c r="E566" t="str">
        <f t="shared" si="19"/>
        <v>X</v>
      </c>
    </row>
    <row r="567" spans="1:5" x14ac:dyDescent="0.3">
      <c r="A567">
        <f>vendors!B569</f>
        <v>0</v>
      </c>
      <c r="B567" s="5">
        <f>vendors!C569</f>
        <v>0</v>
      </c>
      <c r="D567">
        <f t="shared" si="18"/>
        <v>0</v>
      </c>
      <c r="E567" t="str">
        <f t="shared" si="19"/>
        <v>X</v>
      </c>
    </row>
    <row r="568" spans="1:5" x14ac:dyDescent="0.3">
      <c r="A568">
        <f>vendors!B570</f>
        <v>0</v>
      </c>
      <c r="B568" s="5">
        <f>vendors!C570</f>
        <v>0</v>
      </c>
      <c r="D568">
        <f t="shared" si="18"/>
        <v>0</v>
      </c>
      <c r="E568" t="str">
        <f t="shared" si="19"/>
        <v>X</v>
      </c>
    </row>
    <row r="569" spans="1:5" x14ac:dyDescent="0.3">
      <c r="A569">
        <f>vendors!B571</f>
        <v>0</v>
      </c>
      <c r="B569" s="5">
        <f>vendors!C571</f>
        <v>0</v>
      </c>
      <c r="D569">
        <f t="shared" si="18"/>
        <v>0</v>
      </c>
      <c r="E569" t="str">
        <f t="shared" si="19"/>
        <v>X</v>
      </c>
    </row>
    <row r="570" spans="1:5" x14ac:dyDescent="0.3">
      <c r="A570">
        <f>vendors!B572</f>
        <v>0</v>
      </c>
      <c r="B570" s="5">
        <f>vendors!C572</f>
        <v>0</v>
      </c>
      <c r="D570">
        <f t="shared" si="18"/>
        <v>0</v>
      </c>
      <c r="E570" t="str">
        <f t="shared" si="19"/>
        <v>X</v>
      </c>
    </row>
    <row r="571" spans="1:5" x14ac:dyDescent="0.3">
      <c r="A571">
        <f>vendors!B573</f>
        <v>0</v>
      </c>
      <c r="B571" s="5">
        <f>vendors!C573</f>
        <v>0</v>
      </c>
      <c r="D571">
        <f t="shared" si="18"/>
        <v>0</v>
      </c>
      <c r="E571" t="str">
        <f t="shared" si="19"/>
        <v>X</v>
      </c>
    </row>
    <row r="572" spans="1:5" x14ac:dyDescent="0.3">
      <c r="A572">
        <f>vendors!B574</f>
        <v>0</v>
      </c>
      <c r="B572" s="5">
        <f>vendors!C574</f>
        <v>0</v>
      </c>
      <c r="D572">
        <f t="shared" si="18"/>
        <v>0</v>
      </c>
      <c r="E572" t="str">
        <f t="shared" si="19"/>
        <v>X</v>
      </c>
    </row>
    <row r="573" spans="1:5" x14ac:dyDescent="0.3">
      <c r="A573">
        <f>vendors!B575</f>
        <v>0</v>
      </c>
      <c r="B573" s="5">
        <f>vendors!C575</f>
        <v>0</v>
      </c>
      <c r="D573">
        <f t="shared" si="18"/>
        <v>0</v>
      </c>
      <c r="E573" t="str">
        <f t="shared" si="19"/>
        <v>X</v>
      </c>
    </row>
    <row r="574" spans="1:5" x14ac:dyDescent="0.3">
      <c r="A574">
        <f>vendors!B576</f>
        <v>0</v>
      </c>
      <c r="B574" s="5">
        <f>vendors!C576</f>
        <v>0</v>
      </c>
      <c r="D574">
        <f t="shared" si="18"/>
        <v>0</v>
      </c>
      <c r="E574" t="str">
        <f t="shared" si="19"/>
        <v>X</v>
      </c>
    </row>
    <row r="575" spans="1:5" x14ac:dyDescent="0.3">
      <c r="A575">
        <f>vendors!B577</f>
        <v>0</v>
      </c>
      <c r="B575" s="5">
        <f>vendors!C577</f>
        <v>0</v>
      </c>
      <c r="D575">
        <f t="shared" si="18"/>
        <v>0</v>
      </c>
      <c r="E575" t="str">
        <f t="shared" si="19"/>
        <v>X</v>
      </c>
    </row>
    <row r="576" spans="1:5" x14ac:dyDescent="0.3">
      <c r="A576">
        <f>vendors!B578</f>
        <v>0</v>
      </c>
      <c r="B576" s="5">
        <f>vendors!C578</f>
        <v>0</v>
      </c>
      <c r="D576">
        <f t="shared" si="18"/>
        <v>0</v>
      </c>
      <c r="E576" t="str">
        <f t="shared" si="19"/>
        <v>X</v>
      </c>
    </row>
    <row r="577" spans="1:5" x14ac:dyDescent="0.3">
      <c r="A577">
        <f>vendors!B579</f>
        <v>0</v>
      </c>
      <c r="B577" s="5">
        <f>vendors!C579</f>
        <v>0</v>
      </c>
      <c r="D577">
        <f t="shared" si="18"/>
        <v>0</v>
      </c>
      <c r="E577" t="str">
        <f t="shared" si="19"/>
        <v>X</v>
      </c>
    </row>
    <row r="578" spans="1:5" x14ac:dyDescent="0.3">
      <c r="A578">
        <f>vendors!B580</f>
        <v>0</v>
      </c>
      <c r="B578" s="5">
        <f>vendors!C580</f>
        <v>0</v>
      </c>
      <c r="D578">
        <f t="shared" si="18"/>
        <v>0</v>
      </c>
      <c r="E578" t="str">
        <f t="shared" si="19"/>
        <v>X</v>
      </c>
    </row>
    <row r="579" spans="1:5" x14ac:dyDescent="0.3">
      <c r="A579">
        <f>vendors!B581</f>
        <v>0</v>
      </c>
      <c r="B579" s="5">
        <f>vendors!C581</f>
        <v>0</v>
      </c>
      <c r="D579">
        <f t="shared" ref="D579:D642" si="20">C579*B579</f>
        <v>0</v>
      </c>
      <c r="E579" t="str">
        <f t="shared" ref="E579:E642" si="21">IF(C579&lt;500, "X", "")</f>
        <v>X</v>
      </c>
    </row>
    <row r="580" spans="1:5" x14ac:dyDescent="0.3">
      <c r="A580">
        <f>vendors!B582</f>
        <v>0</v>
      </c>
      <c r="B580" s="5">
        <f>vendors!C582</f>
        <v>0</v>
      </c>
      <c r="D580">
        <f t="shared" si="20"/>
        <v>0</v>
      </c>
      <c r="E580" t="str">
        <f t="shared" si="21"/>
        <v>X</v>
      </c>
    </row>
    <row r="581" spans="1:5" x14ac:dyDescent="0.3">
      <c r="A581">
        <f>vendors!B583</f>
        <v>0</v>
      </c>
      <c r="B581" s="5">
        <f>vendors!C583</f>
        <v>0</v>
      </c>
      <c r="D581">
        <f t="shared" si="20"/>
        <v>0</v>
      </c>
      <c r="E581" t="str">
        <f t="shared" si="21"/>
        <v>X</v>
      </c>
    </row>
    <row r="582" spans="1:5" x14ac:dyDescent="0.3">
      <c r="A582">
        <f>vendors!B584</f>
        <v>0</v>
      </c>
      <c r="B582" s="5">
        <f>vendors!C584</f>
        <v>0</v>
      </c>
      <c r="D582">
        <f t="shared" si="20"/>
        <v>0</v>
      </c>
      <c r="E582" t="str">
        <f t="shared" si="21"/>
        <v>X</v>
      </c>
    </row>
    <row r="583" spans="1:5" x14ac:dyDescent="0.3">
      <c r="A583">
        <f>vendors!B585</f>
        <v>0</v>
      </c>
      <c r="B583" s="5">
        <f>vendors!C585</f>
        <v>0</v>
      </c>
      <c r="D583">
        <f t="shared" si="20"/>
        <v>0</v>
      </c>
      <c r="E583" t="str">
        <f t="shared" si="21"/>
        <v>X</v>
      </c>
    </row>
    <row r="584" spans="1:5" x14ac:dyDescent="0.3">
      <c r="A584">
        <f>vendors!B586</f>
        <v>0</v>
      </c>
      <c r="B584" s="5">
        <f>vendors!C586</f>
        <v>0</v>
      </c>
      <c r="D584">
        <f t="shared" si="20"/>
        <v>0</v>
      </c>
      <c r="E584" t="str">
        <f t="shared" si="21"/>
        <v>X</v>
      </c>
    </row>
    <row r="585" spans="1:5" x14ac:dyDescent="0.3">
      <c r="A585">
        <f>vendors!B587</f>
        <v>0</v>
      </c>
      <c r="B585" s="5">
        <f>vendors!C587</f>
        <v>0</v>
      </c>
      <c r="D585">
        <f t="shared" si="20"/>
        <v>0</v>
      </c>
      <c r="E585" t="str">
        <f t="shared" si="21"/>
        <v>X</v>
      </c>
    </row>
    <row r="586" spans="1:5" x14ac:dyDescent="0.3">
      <c r="A586">
        <f>vendors!B588</f>
        <v>0</v>
      </c>
      <c r="B586" s="5">
        <f>vendors!C588</f>
        <v>0</v>
      </c>
      <c r="D586">
        <f t="shared" si="20"/>
        <v>0</v>
      </c>
      <c r="E586" t="str">
        <f t="shared" si="21"/>
        <v>X</v>
      </c>
    </row>
    <row r="587" spans="1:5" x14ac:dyDescent="0.3">
      <c r="A587">
        <f>vendors!B589</f>
        <v>0</v>
      </c>
      <c r="B587" s="5">
        <f>vendors!C589</f>
        <v>0</v>
      </c>
      <c r="D587">
        <f t="shared" si="20"/>
        <v>0</v>
      </c>
      <c r="E587" t="str">
        <f t="shared" si="21"/>
        <v>X</v>
      </c>
    </row>
    <row r="588" spans="1:5" x14ac:dyDescent="0.3">
      <c r="A588">
        <f>vendors!B590</f>
        <v>0</v>
      </c>
      <c r="B588" s="5">
        <f>vendors!C590</f>
        <v>0</v>
      </c>
      <c r="D588">
        <f t="shared" si="20"/>
        <v>0</v>
      </c>
      <c r="E588" t="str">
        <f t="shared" si="21"/>
        <v>X</v>
      </c>
    </row>
    <row r="589" spans="1:5" x14ac:dyDescent="0.3">
      <c r="A589">
        <f>vendors!B591</f>
        <v>0</v>
      </c>
      <c r="B589" s="5">
        <f>vendors!C591</f>
        <v>0</v>
      </c>
      <c r="D589">
        <f t="shared" si="20"/>
        <v>0</v>
      </c>
      <c r="E589" t="str">
        <f t="shared" si="21"/>
        <v>X</v>
      </c>
    </row>
    <row r="590" spans="1:5" x14ac:dyDescent="0.3">
      <c r="A590">
        <f>vendors!B592</f>
        <v>0</v>
      </c>
      <c r="B590" s="5">
        <f>vendors!C592</f>
        <v>0</v>
      </c>
      <c r="D590">
        <f t="shared" si="20"/>
        <v>0</v>
      </c>
      <c r="E590" t="str">
        <f t="shared" si="21"/>
        <v>X</v>
      </c>
    </row>
    <row r="591" spans="1:5" x14ac:dyDescent="0.3">
      <c r="A591">
        <f>vendors!B593</f>
        <v>0</v>
      </c>
      <c r="B591" s="5">
        <f>vendors!C593</f>
        <v>0</v>
      </c>
      <c r="D591">
        <f t="shared" si="20"/>
        <v>0</v>
      </c>
      <c r="E591" t="str">
        <f t="shared" si="21"/>
        <v>X</v>
      </c>
    </row>
    <row r="592" spans="1:5" x14ac:dyDescent="0.3">
      <c r="A592">
        <f>vendors!B594</f>
        <v>0</v>
      </c>
      <c r="B592" s="5">
        <f>vendors!C594</f>
        <v>0</v>
      </c>
      <c r="D592">
        <f t="shared" si="20"/>
        <v>0</v>
      </c>
      <c r="E592" t="str">
        <f t="shared" si="21"/>
        <v>X</v>
      </c>
    </row>
    <row r="593" spans="1:5" x14ac:dyDescent="0.3">
      <c r="A593">
        <f>vendors!B595</f>
        <v>0</v>
      </c>
      <c r="B593" s="5">
        <f>vendors!C595</f>
        <v>0</v>
      </c>
      <c r="D593">
        <f t="shared" si="20"/>
        <v>0</v>
      </c>
      <c r="E593" t="str">
        <f t="shared" si="21"/>
        <v>X</v>
      </c>
    </row>
    <row r="594" spans="1:5" x14ac:dyDescent="0.3">
      <c r="A594">
        <f>vendors!B596</f>
        <v>0</v>
      </c>
      <c r="B594" s="5">
        <f>vendors!C596</f>
        <v>0</v>
      </c>
      <c r="D594">
        <f t="shared" si="20"/>
        <v>0</v>
      </c>
      <c r="E594" t="str">
        <f t="shared" si="21"/>
        <v>X</v>
      </c>
    </row>
    <row r="595" spans="1:5" x14ac:dyDescent="0.3">
      <c r="A595">
        <f>vendors!B597</f>
        <v>0</v>
      </c>
      <c r="B595" s="5">
        <f>vendors!C597</f>
        <v>0</v>
      </c>
      <c r="D595">
        <f t="shared" si="20"/>
        <v>0</v>
      </c>
      <c r="E595" t="str">
        <f t="shared" si="21"/>
        <v>X</v>
      </c>
    </row>
    <row r="596" spans="1:5" x14ac:dyDescent="0.3">
      <c r="A596">
        <f>vendors!B598</f>
        <v>0</v>
      </c>
      <c r="B596" s="5">
        <f>vendors!C598</f>
        <v>0</v>
      </c>
      <c r="D596">
        <f t="shared" si="20"/>
        <v>0</v>
      </c>
      <c r="E596" t="str">
        <f t="shared" si="21"/>
        <v>X</v>
      </c>
    </row>
    <row r="597" spans="1:5" x14ac:dyDescent="0.3">
      <c r="A597">
        <f>vendors!B599</f>
        <v>0</v>
      </c>
      <c r="B597" s="5">
        <f>vendors!C599</f>
        <v>0</v>
      </c>
      <c r="D597">
        <f t="shared" si="20"/>
        <v>0</v>
      </c>
      <c r="E597" t="str">
        <f t="shared" si="21"/>
        <v>X</v>
      </c>
    </row>
    <row r="598" spans="1:5" x14ac:dyDescent="0.3">
      <c r="A598">
        <f>vendors!B600</f>
        <v>0</v>
      </c>
      <c r="B598" s="5">
        <f>vendors!C600</f>
        <v>0</v>
      </c>
      <c r="D598">
        <f t="shared" si="20"/>
        <v>0</v>
      </c>
      <c r="E598" t="str">
        <f t="shared" si="21"/>
        <v>X</v>
      </c>
    </row>
    <row r="599" spans="1:5" x14ac:dyDescent="0.3">
      <c r="A599">
        <f>vendors!B601</f>
        <v>0</v>
      </c>
      <c r="B599" s="5">
        <f>vendors!C601</f>
        <v>0</v>
      </c>
      <c r="D599">
        <f t="shared" si="20"/>
        <v>0</v>
      </c>
      <c r="E599" t="str">
        <f t="shared" si="21"/>
        <v>X</v>
      </c>
    </row>
    <row r="600" spans="1:5" x14ac:dyDescent="0.3">
      <c r="A600">
        <f>vendors!B602</f>
        <v>0</v>
      </c>
      <c r="B600" s="5">
        <f>vendors!C602</f>
        <v>0</v>
      </c>
      <c r="D600">
        <f t="shared" si="20"/>
        <v>0</v>
      </c>
      <c r="E600" t="str">
        <f t="shared" si="21"/>
        <v>X</v>
      </c>
    </row>
    <row r="601" spans="1:5" x14ac:dyDescent="0.3">
      <c r="A601">
        <f>vendors!B603</f>
        <v>0</v>
      </c>
      <c r="B601" s="5">
        <f>vendors!C603</f>
        <v>0</v>
      </c>
      <c r="D601">
        <f t="shared" si="20"/>
        <v>0</v>
      </c>
      <c r="E601" t="str">
        <f t="shared" si="21"/>
        <v>X</v>
      </c>
    </row>
    <row r="602" spans="1:5" x14ac:dyDescent="0.3">
      <c r="A602">
        <f>vendors!B604</f>
        <v>0</v>
      </c>
      <c r="B602" s="5">
        <f>vendors!C604</f>
        <v>0</v>
      </c>
      <c r="D602">
        <f t="shared" si="20"/>
        <v>0</v>
      </c>
      <c r="E602" t="str">
        <f t="shared" si="21"/>
        <v>X</v>
      </c>
    </row>
    <row r="603" spans="1:5" x14ac:dyDescent="0.3">
      <c r="A603">
        <f>vendors!B605</f>
        <v>0</v>
      </c>
      <c r="B603" s="5">
        <f>vendors!C605</f>
        <v>0</v>
      </c>
      <c r="D603">
        <f t="shared" si="20"/>
        <v>0</v>
      </c>
      <c r="E603" t="str">
        <f t="shared" si="21"/>
        <v>X</v>
      </c>
    </row>
    <row r="604" spans="1:5" x14ac:dyDescent="0.3">
      <c r="A604">
        <f>vendors!B606</f>
        <v>0</v>
      </c>
      <c r="B604" s="5">
        <f>vendors!C606</f>
        <v>0</v>
      </c>
      <c r="D604">
        <f t="shared" si="20"/>
        <v>0</v>
      </c>
      <c r="E604" t="str">
        <f t="shared" si="21"/>
        <v>X</v>
      </c>
    </row>
    <row r="605" spans="1:5" x14ac:dyDescent="0.3">
      <c r="A605">
        <f>vendors!B607</f>
        <v>0</v>
      </c>
      <c r="B605" s="5">
        <f>vendors!C607</f>
        <v>0</v>
      </c>
      <c r="D605">
        <f t="shared" si="20"/>
        <v>0</v>
      </c>
      <c r="E605" t="str">
        <f t="shared" si="21"/>
        <v>X</v>
      </c>
    </row>
    <row r="606" spans="1:5" x14ac:dyDescent="0.3">
      <c r="A606">
        <f>vendors!B608</f>
        <v>0</v>
      </c>
      <c r="B606" s="5">
        <f>vendors!C608</f>
        <v>0</v>
      </c>
      <c r="D606">
        <f t="shared" si="20"/>
        <v>0</v>
      </c>
      <c r="E606" t="str">
        <f t="shared" si="21"/>
        <v>X</v>
      </c>
    </row>
    <row r="607" spans="1:5" x14ac:dyDescent="0.3">
      <c r="A607">
        <f>vendors!B609</f>
        <v>0</v>
      </c>
      <c r="B607" s="5">
        <f>vendors!C609</f>
        <v>0</v>
      </c>
      <c r="D607">
        <f t="shared" si="20"/>
        <v>0</v>
      </c>
      <c r="E607" t="str">
        <f t="shared" si="21"/>
        <v>X</v>
      </c>
    </row>
    <row r="608" spans="1:5" x14ac:dyDescent="0.3">
      <c r="A608">
        <f>vendors!B610</f>
        <v>0</v>
      </c>
      <c r="B608" s="5">
        <f>vendors!C610</f>
        <v>0</v>
      </c>
      <c r="D608">
        <f t="shared" si="20"/>
        <v>0</v>
      </c>
      <c r="E608" t="str">
        <f t="shared" si="21"/>
        <v>X</v>
      </c>
    </row>
    <row r="609" spans="1:5" x14ac:dyDescent="0.3">
      <c r="A609">
        <f>vendors!B611</f>
        <v>0</v>
      </c>
      <c r="B609" s="5">
        <f>vendors!C611</f>
        <v>0</v>
      </c>
      <c r="D609">
        <f t="shared" si="20"/>
        <v>0</v>
      </c>
      <c r="E609" t="str">
        <f t="shared" si="21"/>
        <v>X</v>
      </c>
    </row>
    <row r="610" spans="1:5" x14ac:dyDescent="0.3">
      <c r="A610">
        <f>vendors!B612</f>
        <v>0</v>
      </c>
      <c r="B610" s="5">
        <f>vendors!C612</f>
        <v>0</v>
      </c>
      <c r="D610">
        <f t="shared" si="20"/>
        <v>0</v>
      </c>
      <c r="E610" t="str">
        <f t="shared" si="21"/>
        <v>X</v>
      </c>
    </row>
    <row r="611" spans="1:5" x14ac:dyDescent="0.3">
      <c r="A611">
        <f>vendors!B613</f>
        <v>0</v>
      </c>
      <c r="B611" s="5">
        <f>vendors!C613</f>
        <v>0</v>
      </c>
      <c r="D611">
        <f t="shared" si="20"/>
        <v>0</v>
      </c>
      <c r="E611" t="str">
        <f t="shared" si="21"/>
        <v>X</v>
      </c>
    </row>
    <row r="612" spans="1:5" x14ac:dyDescent="0.3">
      <c r="A612">
        <f>vendors!B614</f>
        <v>0</v>
      </c>
      <c r="B612" s="5">
        <f>vendors!C614</f>
        <v>0</v>
      </c>
      <c r="D612">
        <f t="shared" si="20"/>
        <v>0</v>
      </c>
      <c r="E612" t="str">
        <f t="shared" si="21"/>
        <v>X</v>
      </c>
    </row>
    <row r="613" spans="1:5" x14ac:dyDescent="0.3">
      <c r="A613">
        <f>vendors!B615</f>
        <v>0</v>
      </c>
      <c r="B613" s="5">
        <f>vendors!C615</f>
        <v>0</v>
      </c>
      <c r="D613">
        <f t="shared" si="20"/>
        <v>0</v>
      </c>
      <c r="E613" t="str">
        <f t="shared" si="21"/>
        <v>X</v>
      </c>
    </row>
    <row r="614" spans="1:5" x14ac:dyDescent="0.3">
      <c r="A614">
        <f>vendors!B616</f>
        <v>0</v>
      </c>
      <c r="B614" s="5">
        <f>vendors!C616</f>
        <v>0</v>
      </c>
      <c r="D614">
        <f t="shared" si="20"/>
        <v>0</v>
      </c>
      <c r="E614" t="str">
        <f t="shared" si="21"/>
        <v>X</v>
      </c>
    </row>
    <row r="615" spans="1:5" x14ac:dyDescent="0.3">
      <c r="A615">
        <f>vendors!B617</f>
        <v>0</v>
      </c>
      <c r="B615" s="5">
        <f>vendors!C617</f>
        <v>0</v>
      </c>
      <c r="D615">
        <f t="shared" si="20"/>
        <v>0</v>
      </c>
      <c r="E615" t="str">
        <f t="shared" si="21"/>
        <v>X</v>
      </c>
    </row>
    <row r="616" spans="1:5" x14ac:dyDescent="0.3">
      <c r="A616">
        <f>vendors!B618</f>
        <v>0</v>
      </c>
      <c r="B616" s="5">
        <f>vendors!C618</f>
        <v>0</v>
      </c>
      <c r="D616">
        <f t="shared" si="20"/>
        <v>0</v>
      </c>
      <c r="E616" t="str">
        <f t="shared" si="21"/>
        <v>X</v>
      </c>
    </row>
    <row r="617" spans="1:5" x14ac:dyDescent="0.3">
      <c r="A617">
        <f>vendors!B619</f>
        <v>0</v>
      </c>
      <c r="B617" s="5">
        <f>vendors!C619</f>
        <v>0</v>
      </c>
      <c r="D617">
        <f t="shared" si="20"/>
        <v>0</v>
      </c>
      <c r="E617" t="str">
        <f t="shared" si="21"/>
        <v>X</v>
      </c>
    </row>
    <row r="618" spans="1:5" x14ac:dyDescent="0.3">
      <c r="A618">
        <f>vendors!B620</f>
        <v>0</v>
      </c>
      <c r="B618" s="5">
        <f>vendors!C620</f>
        <v>0</v>
      </c>
      <c r="D618">
        <f t="shared" si="20"/>
        <v>0</v>
      </c>
      <c r="E618" t="str">
        <f t="shared" si="21"/>
        <v>X</v>
      </c>
    </row>
    <row r="619" spans="1:5" x14ac:dyDescent="0.3">
      <c r="A619">
        <f>vendors!B621</f>
        <v>0</v>
      </c>
      <c r="B619" s="5">
        <f>vendors!C621</f>
        <v>0</v>
      </c>
      <c r="D619">
        <f t="shared" si="20"/>
        <v>0</v>
      </c>
      <c r="E619" t="str">
        <f t="shared" si="21"/>
        <v>X</v>
      </c>
    </row>
    <row r="620" spans="1:5" x14ac:dyDescent="0.3">
      <c r="A620">
        <f>vendors!B622</f>
        <v>0</v>
      </c>
      <c r="B620" s="5">
        <f>vendors!C622</f>
        <v>0</v>
      </c>
      <c r="D620">
        <f t="shared" si="20"/>
        <v>0</v>
      </c>
      <c r="E620" t="str">
        <f t="shared" si="21"/>
        <v>X</v>
      </c>
    </row>
    <row r="621" spans="1:5" x14ac:dyDescent="0.3">
      <c r="A621">
        <f>vendors!B623</f>
        <v>0</v>
      </c>
      <c r="B621" s="5">
        <f>vendors!C623</f>
        <v>0</v>
      </c>
      <c r="D621">
        <f t="shared" si="20"/>
        <v>0</v>
      </c>
      <c r="E621" t="str">
        <f t="shared" si="21"/>
        <v>X</v>
      </c>
    </row>
    <row r="622" spans="1:5" x14ac:dyDescent="0.3">
      <c r="A622">
        <f>vendors!B624</f>
        <v>0</v>
      </c>
      <c r="B622" s="5">
        <f>vendors!C624</f>
        <v>0</v>
      </c>
      <c r="D622">
        <f t="shared" si="20"/>
        <v>0</v>
      </c>
      <c r="E622" t="str">
        <f t="shared" si="21"/>
        <v>X</v>
      </c>
    </row>
    <row r="623" spans="1:5" x14ac:dyDescent="0.3">
      <c r="A623">
        <f>vendors!B625</f>
        <v>0</v>
      </c>
      <c r="B623" s="5">
        <f>vendors!C625</f>
        <v>0</v>
      </c>
      <c r="D623">
        <f t="shared" si="20"/>
        <v>0</v>
      </c>
      <c r="E623" t="str">
        <f t="shared" si="21"/>
        <v>X</v>
      </c>
    </row>
    <row r="624" spans="1:5" x14ac:dyDescent="0.3">
      <c r="A624">
        <f>vendors!B626</f>
        <v>0</v>
      </c>
      <c r="B624" s="5">
        <f>vendors!C626</f>
        <v>0</v>
      </c>
      <c r="D624">
        <f t="shared" si="20"/>
        <v>0</v>
      </c>
      <c r="E624" t="str">
        <f t="shared" si="21"/>
        <v>X</v>
      </c>
    </row>
    <row r="625" spans="1:5" x14ac:dyDescent="0.3">
      <c r="A625">
        <f>vendors!B627</f>
        <v>0</v>
      </c>
      <c r="B625" s="5">
        <f>vendors!C627</f>
        <v>0</v>
      </c>
      <c r="D625">
        <f t="shared" si="20"/>
        <v>0</v>
      </c>
      <c r="E625" t="str">
        <f t="shared" si="21"/>
        <v>X</v>
      </c>
    </row>
    <row r="626" spans="1:5" x14ac:dyDescent="0.3">
      <c r="A626">
        <f>vendors!B628</f>
        <v>0</v>
      </c>
      <c r="B626" s="5">
        <f>vendors!C628</f>
        <v>0</v>
      </c>
      <c r="D626">
        <f t="shared" si="20"/>
        <v>0</v>
      </c>
      <c r="E626" t="str">
        <f t="shared" si="21"/>
        <v>X</v>
      </c>
    </row>
    <row r="627" spans="1:5" x14ac:dyDescent="0.3">
      <c r="A627">
        <f>vendors!B629</f>
        <v>0</v>
      </c>
      <c r="B627" s="5">
        <f>vendors!C629</f>
        <v>0</v>
      </c>
      <c r="D627">
        <f t="shared" si="20"/>
        <v>0</v>
      </c>
      <c r="E627" t="str">
        <f t="shared" si="21"/>
        <v>X</v>
      </c>
    </row>
    <row r="628" spans="1:5" x14ac:dyDescent="0.3">
      <c r="A628">
        <f>vendors!B630</f>
        <v>0</v>
      </c>
      <c r="B628" s="5">
        <f>vendors!C630</f>
        <v>0</v>
      </c>
      <c r="D628">
        <f t="shared" si="20"/>
        <v>0</v>
      </c>
      <c r="E628" t="str">
        <f t="shared" si="21"/>
        <v>X</v>
      </c>
    </row>
    <row r="629" spans="1:5" x14ac:dyDescent="0.3">
      <c r="A629">
        <f>vendors!B631</f>
        <v>0</v>
      </c>
      <c r="B629" s="5">
        <f>vendors!C631</f>
        <v>0</v>
      </c>
      <c r="D629">
        <f t="shared" si="20"/>
        <v>0</v>
      </c>
      <c r="E629" t="str">
        <f t="shared" si="21"/>
        <v>X</v>
      </c>
    </row>
    <row r="630" spans="1:5" x14ac:dyDescent="0.3">
      <c r="A630">
        <f>vendors!B632</f>
        <v>0</v>
      </c>
      <c r="B630" s="5">
        <f>vendors!C632</f>
        <v>0</v>
      </c>
      <c r="D630">
        <f t="shared" si="20"/>
        <v>0</v>
      </c>
      <c r="E630" t="str">
        <f t="shared" si="21"/>
        <v>X</v>
      </c>
    </row>
    <row r="631" spans="1:5" x14ac:dyDescent="0.3">
      <c r="A631">
        <f>vendors!B633</f>
        <v>0</v>
      </c>
      <c r="B631" s="5">
        <f>vendors!C633</f>
        <v>0</v>
      </c>
      <c r="D631">
        <f t="shared" si="20"/>
        <v>0</v>
      </c>
      <c r="E631" t="str">
        <f t="shared" si="21"/>
        <v>X</v>
      </c>
    </row>
    <row r="632" spans="1:5" x14ac:dyDescent="0.3">
      <c r="A632">
        <f>vendors!B634</f>
        <v>0</v>
      </c>
      <c r="B632" s="5">
        <f>vendors!C634</f>
        <v>0</v>
      </c>
      <c r="D632">
        <f t="shared" si="20"/>
        <v>0</v>
      </c>
      <c r="E632" t="str">
        <f t="shared" si="21"/>
        <v>X</v>
      </c>
    </row>
    <row r="633" spans="1:5" x14ac:dyDescent="0.3">
      <c r="A633">
        <f>vendors!B635</f>
        <v>0</v>
      </c>
      <c r="B633" s="5">
        <f>vendors!C635</f>
        <v>0</v>
      </c>
      <c r="D633">
        <f t="shared" si="20"/>
        <v>0</v>
      </c>
      <c r="E633" t="str">
        <f t="shared" si="21"/>
        <v>X</v>
      </c>
    </row>
    <row r="634" spans="1:5" x14ac:dyDescent="0.3">
      <c r="A634">
        <f>vendors!B636</f>
        <v>0</v>
      </c>
      <c r="B634" s="5">
        <f>vendors!C636</f>
        <v>0</v>
      </c>
      <c r="D634">
        <f t="shared" si="20"/>
        <v>0</v>
      </c>
      <c r="E634" t="str">
        <f t="shared" si="21"/>
        <v>X</v>
      </c>
    </row>
    <row r="635" spans="1:5" x14ac:dyDescent="0.3">
      <c r="A635">
        <f>vendors!B637</f>
        <v>0</v>
      </c>
      <c r="B635" s="5">
        <f>vendors!C637</f>
        <v>0</v>
      </c>
      <c r="D635">
        <f t="shared" si="20"/>
        <v>0</v>
      </c>
      <c r="E635" t="str">
        <f t="shared" si="21"/>
        <v>X</v>
      </c>
    </row>
    <row r="636" spans="1:5" x14ac:dyDescent="0.3">
      <c r="A636">
        <f>vendors!B638</f>
        <v>0</v>
      </c>
      <c r="B636" s="5">
        <f>vendors!C638</f>
        <v>0</v>
      </c>
      <c r="D636">
        <f t="shared" si="20"/>
        <v>0</v>
      </c>
      <c r="E636" t="str">
        <f t="shared" si="21"/>
        <v>X</v>
      </c>
    </row>
    <row r="637" spans="1:5" x14ac:dyDescent="0.3">
      <c r="A637">
        <f>vendors!B639</f>
        <v>0</v>
      </c>
      <c r="B637" s="5">
        <f>vendors!C639</f>
        <v>0</v>
      </c>
      <c r="D637">
        <f t="shared" si="20"/>
        <v>0</v>
      </c>
      <c r="E637" t="str">
        <f t="shared" si="21"/>
        <v>X</v>
      </c>
    </row>
    <row r="638" spans="1:5" x14ac:dyDescent="0.3">
      <c r="A638">
        <f>vendors!B640</f>
        <v>0</v>
      </c>
      <c r="B638" s="5">
        <f>vendors!C640</f>
        <v>0</v>
      </c>
      <c r="D638">
        <f t="shared" si="20"/>
        <v>0</v>
      </c>
      <c r="E638" t="str">
        <f t="shared" si="21"/>
        <v>X</v>
      </c>
    </row>
    <row r="639" spans="1:5" x14ac:dyDescent="0.3">
      <c r="A639">
        <f>vendors!B641</f>
        <v>0</v>
      </c>
      <c r="B639" s="5">
        <f>vendors!C641</f>
        <v>0</v>
      </c>
      <c r="D639">
        <f t="shared" si="20"/>
        <v>0</v>
      </c>
      <c r="E639" t="str">
        <f t="shared" si="21"/>
        <v>X</v>
      </c>
    </row>
    <row r="640" spans="1:5" x14ac:dyDescent="0.3">
      <c r="A640">
        <f>vendors!B642</f>
        <v>0</v>
      </c>
      <c r="B640" s="5">
        <f>vendors!C642</f>
        <v>0</v>
      </c>
      <c r="D640">
        <f t="shared" si="20"/>
        <v>0</v>
      </c>
      <c r="E640" t="str">
        <f t="shared" si="21"/>
        <v>X</v>
      </c>
    </row>
    <row r="641" spans="1:5" x14ac:dyDescent="0.3">
      <c r="A641">
        <f>vendors!B643</f>
        <v>0</v>
      </c>
      <c r="B641" s="5">
        <f>vendors!C643</f>
        <v>0</v>
      </c>
      <c r="D641">
        <f t="shared" si="20"/>
        <v>0</v>
      </c>
      <c r="E641" t="str">
        <f t="shared" si="21"/>
        <v>X</v>
      </c>
    </row>
    <row r="642" spans="1:5" x14ac:dyDescent="0.3">
      <c r="A642">
        <f>vendors!B644</f>
        <v>0</v>
      </c>
      <c r="B642" s="5">
        <f>vendors!C644</f>
        <v>0</v>
      </c>
      <c r="D642">
        <f t="shared" si="20"/>
        <v>0</v>
      </c>
      <c r="E642" t="str">
        <f t="shared" si="21"/>
        <v>X</v>
      </c>
    </row>
    <row r="643" spans="1:5" x14ac:dyDescent="0.3">
      <c r="A643">
        <f>vendors!B645</f>
        <v>0</v>
      </c>
      <c r="B643" s="5">
        <f>vendors!C645</f>
        <v>0</v>
      </c>
      <c r="D643">
        <f t="shared" ref="D643:D706" si="22">C643*B643</f>
        <v>0</v>
      </c>
      <c r="E643" t="str">
        <f t="shared" ref="E643:E706" si="23">IF(C643&lt;500, "X", "")</f>
        <v>X</v>
      </c>
    </row>
    <row r="644" spans="1:5" x14ac:dyDescent="0.3">
      <c r="A644">
        <f>vendors!B646</f>
        <v>0</v>
      </c>
      <c r="B644" s="5">
        <f>vendors!C646</f>
        <v>0</v>
      </c>
      <c r="D644">
        <f t="shared" si="22"/>
        <v>0</v>
      </c>
      <c r="E644" t="str">
        <f t="shared" si="23"/>
        <v>X</v>
      </c>
    </row>
    <row r="645" spans="1:5" x14ac:dyDescent="0.3">
      <c r="A645">
        <f>vendors!B647</f>
        <v>0</v>
      </c>
      <c r="B645" s="5">
        <f>vendors!C647</f>
        <v>0</v>
      </c>
      <c r="D645">
        <f t="shared" si="22"/>
        <v>0</v>
      </c>
      <c r="E645" t="str">
        <f t="shared" si="23"/>
        <v>X</v>
      </c>
    </row>
    <row r="646" spans="1:5" x14ac:dyDescent="0.3">
      <c r="A646">
        <f>vendors!B648</f>
        <v>0</v>
      </c>
      <c r="B646" s="5">
        <f>vendors!C648</f>
        <v>0</v>
      </c>
      <c r="D646">
        <f t="shared" si="22"/>
        <v>0</v>
      </c>
      <c r="E646" t="str">
        <f t="shared" si="23"/>
        <v>X</v>
      </c>
    </row>
    <row r="647" spans="1:5" x14ac:dyDescent="0.3">
      <c r="A647">
        <f>vendors!B649</f>
        <v>0</v>
      </c>
      <c r="B647" s="5">
        <f>vendors!C649</f>
        <v>0</v>
      </c>
      <c r="D647">
        <f t="shared" si="22"/>
        <v>0</v>
      </c>
      <c r="E647" t="str">
        <f t="shared" si="23"/>
        <v>X</v>
      </c>
    </row>
    <row r="648" spans="1:5" x14ac:dyDescent="0.3">
      <c r="A648">
        <f>vendors!B650</f>
        <v>0</v>
      </c>
      <c r="B648" s="5">
        <f>vendors!C650</f>
        <v>0</v>
      </c>
      <c r="D648">
        <f t="shared" si="22"/>
        <v>0</v>
      </c>
      <c r="E648" t="str">
        <f t="shared" si="23"/>
        <v>X</v>
      </c>
    </row>
    <row r="649" spans="1:5" x14ac:dyDescent="0.3">
      <c r="A649">
        <f>vendors!B651</f>
        <v>0</v>
      </c>
      <c r="B649" s="5">
        <f>vendors!C651</f>
        <v>0</v>
      </c>
      <c r="D649">
        <f t="shared" si="22"/>
        <v>0</v>
      </c>
      <c r="E649" t="str">
        <f t="shared" si="23"/>
        <v>X</v>
      </c>
    </row>
    <row r="650" spans="1:5" x14ac:dyDescent="0.3">
      <c r="A650">
        <f>vendors!B652</f>
        <v>0</v>
      </c>
      <c r="B650" s="5">
        <f>vendors!C652</f>
        <v>0</v>
      </c>
      <c r="D650">
        <f t="shared" si="22"/>
        <v>0</v>
      </c>
      <c r="E650" t="str">
        <f t="shared" si="23"/>
        <v>X</v>
      </c>
    </row>
    <row r="651" spans="1:5" x14ac:dyDescent="0.3">
      <c r="A651">
        <f>vendors!B653</f>
        <v>0</v>
      </c>
      <c r="B651" s="5">
        <f>vendors!C653</f>
        <v>0</v>
      </c>
      <c r="D651">
        <f t="shared" si="22"/>
        <v>0</v>
      </c>
      <c r="E651" t="str">
        <f t="shared" si="23"/>
        <v>X</v>
      </c>
    </row>
    <row r="652" spans="1:5" x14ac:dyDescent="0.3">
      <c r="A652">
        <f>vendors!B654</f>
        <v>0</v>
      </c>
      <c r="B652" s="5">
        <f>vendors!C654</f>
        <v>0</v>
      </c>
      <c r="D652">
        <f t="shared" si="22"/>
        <v>0</v>
      </c>
      <c r="E652" t="str">
        <f t="shared" si="23"/>
        <v>X</v>
      </c>
    </row>
    <row r="653" spans="1:5" x14ac:dyDescent="0.3">
      <c r="A653">
        <f>vendors!B655</f>
        <v>0</v>
      </c>
      <c r="B653" s="5">
        <f>vendors!C655</f>
        <v>0</v>
      </c>
      <c r="D653">
        <f t="shared" si="22"/>
        <v>0</v>
      </c>
      <c r="E653" t="str">
        <f t="shared" si="23"/>
        <v>X</v>
      </c>
    </row>
    <row r="654" spans="1:5" x14ac:dyDescent="0.3">
      <c r="A654">
        <f>vendors!B656</f>
        <v>0</v>
      </c>
      <c r="B654" s="5">
        <f>vendors!C656</f>
        <v>0</v>
      </c>
      <c r="D654">
        <f t="shared" si="22"/>
        <v>0</v>
      </c>
      <c r="E654" t="str">
        <f t="shared" si="23"/>
        <v>X</v>
      </c>
    </row>
    <row r="655" spans="1:5" x14ac:dyDescent="0.3">
      <c r="A655">
        <f>vendors!B657</f>
        <v>0</v>
      </c>
      <c r="B655" s="5">
        <f>vendors!C657</f>
        <v>0</v>
      </c>
      <c r="D655">
        <f t="shared" si="22"/>
        <v>0</v>
      </c>
      <c r="E655" t="str">
        <f t="shared" si="23"/>
        <v>X</v>
      </c>
    </row>
    <row r="656" spans="1:5" x14ac:dyDescent="0.3">
      <c r="A656">
        <f>vendors!B658</f>
        <v>0</v>
      </c>
      <c r="B656" s="5">
        <f>vendors!C658</f>
        <v>0</v>
      </c>
      <c r="D656">
        <f t="shared" si="22"/>
        <v>0</v>
      </c>
      <c r="E656" t="str">
        <f t="shared" si="23"/>
        <v>X</v>
      </c>
    </row>
    <row r="657" spans="1:5" x14ac:dyDescent="0.3">
      <c r="A657">
        <f>vendors!B659</f>
        <v>0</v>
      </c>
      <c r="B657" s="5">
        <f>vendors!C659</f>
        <v>0</v>
      </c>
      <c r="D657">
        <f t="shared" si="22"/>
        <v>0</v>
      </c>
      <c r="E657" t="str">
        <f t="shared" si="23"/>
        <v>X</v>
      </c>
    </row>
    <row r="658" spans="1:5" x14ac:dyDescent="0.3">
      <c r="A658">
        <f>vendors!B660</f>
        <v>0</v>
      </c>
      <c r="B658" s="5">
        <f>vendors!C660</f>
        <v>0</v>
      </c>
      <c r="D658">
        <f t="shared" si="22"/>
        <v>0</v>
      </c>
      <c r="E658" t="str">
        <f t="shared" si="23"/>
        <v>X</v>
      </c>
    </row>
    <row r="659" spans="1:5" x14ac:dyDescent="0.3">
      <c r="A659">
        <f>vendors!B661</f>
        <v>0</v>
      </c>
      <c r="B659" s="5">
        <f>vendors!C661</f>
        <v>0</v>
      </c>
      <c r="D659">
        <f t="shared" si="22"/>
        <v>0</v>
      </c>
      <c r="E659" t="str">
        <f t="shared" si="23"/>
        <v>X</v>
      </c>
    </row>
    <row r="660" spans="1:5" x14ac:dyDescent="0.3">
      <c r="A660">
        <f>vendors!B662</f>
        <v>0</v>
      </c>
      <c r="B660" s="5">
        <f>vendors!C662</f>
        <v>0</v>
      </c>
      <c r="D660">
        <f t="shared" si="22"/>
        <v>0</v>
      </c>
      <c r="E660" t="str">
        <f t="shared" si="23"/>
        <v>X</v>
      </c>
    </row>
    <row r="661" spans="1:5" x14ac:dyDescent="0.3">
      <c r="A661">
        <f>vendors!B663</f>
        <v>0</v>
      </c>
      <c r="B661" s="5">
        <f>vendors!C663</f>
        <v>0</v>
      </c>
      <c r="D661">
        <f t="shared" si="22"/>
        <v>0</v>
      </c>
      <c r="E661" t="str">
        <f t="shared" si="23"/>
        <v>X</v>
      </c>
    </row>
    <row r="662" spans="1:5" x14ac:dyDescent="0.3">
      <c r="A662">
        <f>vendors!B664</f>
        <v>0</v>
      </c>
      <c r="B662" s="5">
        <f>vendors!C664</f>
        <v>0</v>
      </c>
      <c r="D662">
        <f t="shared" si="22"/>
        <v>0</v>
      </c>
      <c r="E662" t="str">
        <f t="shared" si="23"/>
        <v>X</v>
      </c>
    </row>
    <row r="663" spans="1:5" x14ac:dyDescent="0.3">
      <c r="A663">
        <f>vendors!B665</f>
        <v>0</v>
      </c>
      <c r="B663" s="5">
        <f>vendors!C665</f>
        <v>0</v>
      </c>
      <c r="D663">
        <f t="shared" si="22"/>
        <v>0</v>
      </c>
      <c r="E663" t="str">
        <f t="shared" si="23"/>
        <v>X</v>
      </c>
    </row>
    <row r="664" spans="1:5" x14ac:dyDescent="0.3">
      <c r="A664">
        <f>vendors!B666</f>
        <v>0</v>
      </c>
      <c r="B664" s="5">
        <f>vendors!C666</f>
        <v>0</v>
      </c>
      <c r="D664">
        <f t="shared" si="22"/>
        <v>0</v>
      </c>
      <c r="E664" t="str">
        <f t="shared" si="23"/>
        <v>X</v>
      </c>
    </row>
    <row r="665" spans="1:5" x14ac:dyDescent="0.3">
      <c r="A665">
        <f>vendors!B667</f>
        <v>0</v>
      </c>
      <c r="B665" s="5">
        <f>vendors!C667</f>
        <v>0</v>
      </c>
      <c r="D665">
        <f t="shared" si="22"/>
        <v>0</v>
      </c>
      <c r="E665" t="str">
        <f t="shared" si="23"/>
        <v>X</v>
      </c>
    </row>
    <row r="666" spans="1:5" x14ac:dyDescent="0.3">
      <c r="A666">
        <f>vendors!B668</f>
        <v>0</v>
      </c>
      <c r="B666" s="5">
        <f>vendors!C668</f>
        <v>0</v>
      </c>
      <c r="D666">
        <f t="shared" si="22"/>
        <v>0</v>
      </c>
      <c r="E666" t="str">
        <f t="shared" si="23"/>
        <v>X</v>
      </c>
    </row>
    <row r="667" spans="1:5" x14ac:dyDescent="0.3">
      <c r="A667">
        <f>vendors!B669</f>
        <v>0</v>
      </c>
      <c r="B667" s="5">
        <f>vendors!C669</f>
        <v>0</v>
      </c>
      <c r="D667">
        <f t="shared" si="22"/>
        <v>0</v>
      </c>
      <c r="E667" t="str">
        <f t="shared" si="23"/>
        <v>X</v>
      </c>
    </row>
    <row r="668" spans="1:5" x14ac:dyDescent="0.3">
      <c r="A668">
        <f>vendors!B670</f>
        <v>0</v>
      </c>
      <c r="B668" s="5">
        <f>vendors!C670</f>
        <v>0</v>
      </c>
      <c r="D668">
        <f t="shared" si="22"/>
        <v>0</v>
      </c>
      <c r="E668" t="str">
        <f t="shared" si="23"/>
        <v>X</v>
      </c>
    </row>
    <row r="669" spans="1:5" x14ac:dyDescent="0.3">
      <c r="A669">
        <f>vendors!B671</f>
        <v>0</v>
      </c>
      <c r="B669" s="5">
        <f>vendors!C671</f>
        <v>0</v>
      </c>
      <c r="D669">
        <f t="shared" si="22"/>
        <v>0</v>
      </c>
      <c r="E669" t="str">
        <f t="shared" si="23"/>
        <v>X</v>
      </c>
    </row>
    <row r="670" spans="1:5" x14ac:dyDescent="0.3">
      <c r="A670">
        <f>vendors!B672</f>
        <v>0</v>
      </c>
      <c r="B670" s="5">
        <f>vendors!C672</f>
        <v>0</v>
      </c>
      <c r="D670">
        <f t="shared" si="22"/>
        <v>0</v>
      </c>
      <c r="E670" t="str">
        <f t="shared" si="23"/>
        <v>X</v>
      </c>
    </row>
    <row r="671" spans="1:5" x14ac:dyDescent="0.3">
      <c r="A671">
        <f>vendors!B673</f>
        <v>0</v>
      </c>
      <c r="B671" s="5">
        <f>vendors!C673</f>
        <v>0</v>
      </c>
      <c r="D671">
        <f t="shared" si="22"/>
        <v>0</v>
      </c>
      <c r="E671" t="str">
        <f t="shared" si="23"/>
        <v>X</v>
      </c>
    </row>
    <row r="672" spans="1:5" x14ac:dyDescent="0.3">
      <c r="A672">
        <f>vendors!B674</f>
        <v>0</v>
      </c>
      <c r="B672" s="5">
        <f>vendors!C674</f>
        <v>0</v>
      </c>
      <c r="D672">
        <f t="shared" si="22"/>
        <v>0</v>
      </c>
      <c r="E672" t="str">
        <f t="shared" si="23"/>
        <v>X</v>
      </c>
    </row>
    <row r="673" spans="1:5" x14ac:dyDescent="0.3">
      <c r="A673">
        <f>vendors!B675</f>
        <v>0</v>
      </c>
      <c r="B673" s="5">
        <f>vendors!C675</f>
        <v>0</v>
      </c>
      <c r="D673">
        <f t="shared" si="22"/>
        <v>0</v>
      </c>
      <c r="E673" t="str">
        <f t="shared" si="23"/>
        <v>X</v>
      </c>
    </row>
    <row r="674" spans="1:5" x14ac:dyDescent="0.3">
      <c r="A674">
        <f>vendors!B676</f>
        <v>0</v>
      </c>
      <c r="B674" s="5">
        <f>vendors!C676</f>
        <v>0</v>
      </c>
      <c r="D674">
        <f t="shared" si="22"/>
        <v>0</v>
      </c>
      <c r="E674" t="str">
        <f t="shared" si="23"/>
        <v>X</v>
      </c>
    </row>
    <row r="675" spans="1:5" x14ac:dyDescent="0.3">
      <c r="A675">
        <f>vendors!B677</f>
        <v>0</v>
      </c>
      <c r="B675" s="5">
        <f>vendors!C677</f>
        <v>0</v>
      </c>
      <c r="D675">
        <f t="shared" si="22"/>
        <v>0</v>
      </c>
      <c r="E675" t="str">
        <f t="shared" si="23"/>
        <v>X</v>
      </c>
    </row>
    <row r="676" spans="1:5" x14ac:dyDescent="0.3">
      <c r="A676">
        <f>vendors!B678</f>
        <v>0</v>
      </c>
      <c r="B676" s="5">
        <f>vendors!C678</f>
        <v>0</v>
      </c>
      <c r="D676">
        <f t="shared" si="22"/>
        <v>0</v>
      </c>
      <c r="E676" t="str">
        <f t="shared" si="23"/>
        <v>X</v>
      </c>
    </row>
    <row r="677" spans="1:5" x14ac:dyDescent="0.3">
      <c r="A677">
        <f>vendors!B679</f>
        <v>0</v>
      </c>
      <c r="B677" s="5">
        <f>vendors!C679</f>
        <v>0</v>
      </c>
      <c r="D677">
        <f t="shared" si="22"/>
        <v>0</v>
      </c>
      <c r="E677" t="str">
        <f t="shared" si="23"/>
        <v>X</v>
      </c>
    </row>
    <row r="678" spans="1:5" x14ac:dyDescent="0.3">
      <c r="A678">
        <f>vendors!B680</f>
        <v>0</v>
      </c>
      <c r="B678" s="5">
        <f>vendors!C680</f>
        <v>0</v>
      </c>
      <c r="D678">
        <f t="shared" si="22"/>
        <v>0</v>
      </c>
      <c r="E678" t="str">
        <f t="shared" si="23"/>
        <v>X</v>
      </c>
    </row>
    <row r="679" spans="1:5" x14ac:dyDescent="0.3">
      <c r="A679">
        <f>vendors!B681</f>
        <v>0</v>
      </c>
      <c r="B679" s="5">
        <f>vendors!C681</f>
        <v>0</v>
      </c>
      <c r="D679">
        <f t="shared" si="22"/>
        <v>0</v>
      </c>
      <c r="E679" t="str">
        <f t="shared" si="23"/>
        <v>X</v>
      </c>
    </row>
    <row r="680" spans="1:5" x14ac:dyDescent="0.3">
      <c r="A680">
        <f>vendors!B682</f>
        <v>0</v>
      </c>
      <c r="B680" s="5">
        <f>vendors!C682</f>
        <v>0</v>
      </c>
      <c r="D680">
        <f t="shared" si="22"/>
        <v>0</v>
      </c>
      <c r="E680" t="str">
        <f t="shared" si="23"/>
        <v>X</v>
      </c>
    </row>
    <row r="681" spans="1:5" x14ac:dyDescent="0.3">
      <c r="A681">
        <f>vendors!B683</f>
        <v>0</v>
      </c>
      <c r="B681" s="5">
        <f>vendors!C683</f>
        <v>0</v>
      </c>
      <c r="D681">
        <f t="shared" si="22"/>
        <v>0</v>
      </c>
      <c r="E681" t="str">
        <f t="shared" si="23"/>
        <v>X</v>
      </c>
    </row>
    <row r="682" spans="1:5" x14ac:dyDescent="0.3">
      <c r="A682">
        <f>vendors!B684</f>
        <v>0</v>
      </c>
      <c r="B682" s="5">
        <f>vendors!C684</f>
        <v>0</v>
      </c>
      <c r="D682">
        <f t="shared" si="22"/>
        <v>0</v>
      </c>
      <c r="E682" t="str">
        <f t="shared" si="23"/>
        <v>X</v>
      </c>
    </row>
    <row r="683" spans="1:5" x14ac:dyDescent="0.3">
      <c r="A683">
        <f>vendors!B685</f>
        <v>0</v>
      </c>
      <c r="B683" s="5">
        <f>vendors!C685</f>
        <v>0</v>
      </c>
      <c r="D683">
        <f t="shared" si="22"/>
        <v>0</v>
      </c>
      <c r="E683" t="str">
        <f t="shared" si="23"/>
        <v>X</v>
      </c>
    </row>
    <row r="684" spans="1:5" x14ac:dyDescent="0.3">
      <c r="A684">
        <f>vendors!B686</f>
        <v>0</v>
      </c>
      <c r="B684" s="5">
        <f>vendors!C686</f>
        <v>0</v>
      </c>
      <c r="D684">
        <f t="shared" si="22"/>
        <v>0</v>
      </c>
      <c r="E684" t="str">
        <f t="shared" si="23"/>
        <v>X</v>
      </c>
    </row>
    <row r="685" spans="1:5" x14ac:dyDescent="0.3">
      <c r="A685">
        <f>vendors!B687</f>
        <v>0</v>
      </c>
      <c r="B685" s="5">
        <f>vendors!C687</f>
        <v>0</v>
      </c>
      <c r="D685">
        <f t="shared" si="22"/>
        <v>0</v>
      </c>
      <c r="E685" t="str">
        <f t="shared" si="23"/>
        <v>X</v>
      </c>
    </row>
    <row r="686" spans="1:5" x14ac:dyDescent="0.3">
      <c r="A686">
        <f>vendors!B688</f>
        <v>0</v>
      </c>
      <c r="B686" s="5">
        <f>vendors!C688</f>
        <v>0</v>
      </c>
      <c r="D686">
        <f t="shared" si="22"/>
        <v>0</v>
      </c>
      <c r="E686" t="str">
        <f t="shared" si="23"/>
        <v>X</v>
      </c>
    </row>
    <row r="687" spans="1:5" x14ac:dyDescent="0.3">
      <c r="A687">
        <f>vendors!B689</f>
        <v>0</v>
      </c>
      <c r="B687" s="5">
        <f>vendors!C689</f>
        <v>0</v>
      </c>
      <c r="D687">
        <f t="shared" si="22"/>
        <v>0</v>
      </c>
      <c r="E687" t="str">
        <f t="shared" si="23"/>
        <v>X</v>
      </c>
    </row>
    <row r="688" spans="1:5" x14ac:dyDescent="0.3">
      <c r="A688">
        <f>vendors!B690</f>
        <v>0</v>
      </c>
      <c r="B688" s="5">
        <f>vendors!C690</f>
        <v>0</v>
      </c>
      <c r="D688">
        <f t="shared" si="22"/>
        <v>0</v>
      </c>
      <c r="E688" t="str">
        <f t="shared" si="23"/>
        <v>X</v>
      </c>
    </row>
    <row r="689" spans="1:5" x14ac:dyDescent="0.3">
      <c r="A689">
        <f>vendors!B691</f>
        <v>0</v>
      </c>
      <c r="B689" s="5">
        <f>vendors!C691</f>
        <v>0</v>
      </c>
      <c r="D689">
        <f t="shared" si="22"/>
        <v>0</v>
      </c>
      <c r="E689" t="str">
        <f t="shared" si="23"/>
        <v>X</v>
      </c>
    </row>
    <row r="690" spans="1:5" x14ac:dyDescent="0.3">
      <c r="A690">
        <f>vendors!B692</f>
        <v>0</v>
      </c>
      <c r="B690" s="5">
        <f>vendors!C692</f>
        <v>0</v>
      </c>
      <c r="D690">
        <f t="shared" si="22"/>
        <v>0</v>
      </c>
      <c r="E690" t="str">
        <f t="shared" si="23"/>
        <v>X</v>
      </c>
    </row>
    <row r="691" spans="1:5" x14ac:dyDescent="0.3">
      <c r="A691">
        <f>vendors!B693</f>
        <v>0</v>
      </c>
      <c r="B691" s="5">
        <f>vendors!C693</f>
        <v>0</v>
      </c>
      <c r="D691">
        <f t="shared" si="22"/>
        <v>0</v>
      </c>
      <c r="E691" t="str">
        <f t="shared" si="23"/>
        <v>X</v>
      </c>
    </row>
    <row r="692" spans="1:5" x14ac:dyDescent="0.3">
      <c r="A692">
        <f>vendors!B694</f>
        <v>0</v>
      </c>
      <c r="B692" s="5">
        <f>vendors!C694</f>
        <v>0</v>
      </c>
      <c r="D692">
        <f t="shared" si="22"/>
        <v>0</v>
      </c>
      <c r="E692" t="str">
        <f t="shared" si="23"/>
        <v>X</v>
      </c>
    </row>
    <row r="693" spans="1:5" x14ac:dyDescent="0.3">
      <c r="A693">
        <f>vendors!B695</f>
        <v>0</v>
      </c>
      <c r="B693" s="5">
        <f>vendors!C695</f>
        <v>0</v>
      </c>
      <c r="D693">
        <f t="shared" si="22"/>
        <v>0</v>
      </c>
      <c r="E693" t="str">
        <f t="shared" si="23"/>
        <v>X</v>
      </c>
    </row>
    <row r="694" spans="1:5" x14ac:dyDescent="0.3">
      <c r="A694">
        <f>vendors!B696</f>
        <v>0</v>
      </c>
      <c r="B694" s="5">
        <f>vendors!C696</f>
        <v>0</v>
      </c>
      <c r="D694">
        <f t="shared" si="22"/>
        <v>0</v>
      </c>
      <c r="E694" t="str">
        <f t="shared" si="23"/>
        <v>X</v>
      </c>
    </row>
    <row r="695" spans="1:5" x14ac:dyDescent="0.3">
      <c r="A695">
        <f>vendors!B697</f>
        <v>0</v>
      </c>
      <c r="B695" s="5">
        <f>vendors!C697</f>
        <v>0</v>
      </c>
      <c r="D695">
        <f t="shared" si="22"/>
        <v>0</v>
      </c>
      <c r="E695" t="str">
        <f t="shared" si="23"/>
        <v>X</v>
      </c>
    </row>
    <row r="696" spans="1:5" x14ac:dyDescent="0.3">
      <c r="A696">
        <f>vendors!B698</f>
        <v>0</v>
      </c>
      <c r="B696" s="5">
        <f>vendors!C698</f>
        <v>0</v>
      </c>
      <c r="D696">
        <f t="shared" si="22"/>
        <v>0</v>
      </c>
      <c r="E696" t="str">
        <f t="shared" si="23"/>
        <v>X</v>
      </c>
    </row>
    <row r="697" spans="1:5" x14ac:dyDescent="0.3">
      <c r="A697">
        <f>vendors!B699</f>
        <v>0</v>
      </c>
      <c r="B697" s="5">
        <f>vendors!C699</f>
        <v>0</v>
      </c>
      <c r="D697">
        <f t="shared" si="22"/>
        <v>0</v>
      </c>
      <c r="E697" t="str">
        <f t="shared" si="23"/>
        <v>X</v>
      </c>
    </row>
    <row r="698" spans="1:5" x14ac:dyDescent="0.3">
      <c r="A698">
        <f>vendors!B700</f>
        <v>0</v>
      </c>
      <c r="B698" s="5">
        <f>vendors!C700</f>
        <v>0</v>
      </c>
      <c r="D698">
        <f t="shared" si="22"/>
        <v>0</v>
      </c>
      <c r="E698" t="str">
        <f t="shared" si="23"/>
        <v>X</v>
      </c>
    </row>
    <row r="699" spans="1:5" x14ac:dyDescent="0.3">
      <c r="A699">
        <f>vendors!B701</f>
        <v>0</v>
      </c>
      <c r="B699" s="5">
        <f>vendors!C701</f>
        <v>0</v>
      </c>
      <c r="D699">
        <f t="shared" si="22"/>
        <v>0</v>
      </c>
      <c r="E699" t="str">
        <f t="shared" si="23"/>
        <v>X</v>
      </c>
    </row>
    <row r="700" spans="1:5" x14ac:dyDescent="0.3">
      <c r="A700">
        <f>vendors!B702</f>
        <v>0</v>
      </c>
      <c r="B700" s="5">
        <f>vendors!C702</f>
        <v>0</v>
      </c>
      <c r="D700">
        <f t="shared" si="22"/>
        <v>0</v>
      </c>
      <c r="E700" t="str">
        <f t="shared" si="23"/>
        <v>X</v>
      </c>
    </row>
    <row r="701" spans="1:5" x14ac:dyDescent="0.3">
      <c r="A701">
        <f>vendors!B703</f>
        <v>0</v>
      </c>
      <c r="B701" s="5">
        <f>vendors!C703</f>
        <v>0</v>
      </c>
      <c r="D701">
        <f t="shared" si="22"/>
        <v>0</v>
      </c>
      <c r="E701" t="str">
        <f t="shared" si="23"/>
        <v>X</v>
      </c>
    </row>
    <row r="702" spans="1:5" x14ac:dyDescent="0.3">
      <c r="A702">
        <f>vendors!B704</f>
        <v>0</v>
      </c>
      <c r="B702" s="5">
        <f>vendors!C704</f>
        <v>0</v>
      </c>
      <c r="D702">
        <f t="shared" si="22"/>
        <v>0</v>
      </c>
      <c r="E702" t="str">
        <f t="shared" si="23"/>
        <v>X</v>
      </c>
    </row>
    <row r="703" spans="1:5" x14ac:dyDescent="0.3">
      <c r="A703">
        <f>vendors!B705</f>
        <v>0</v>
      </c>
      <c r="B703" s="5">
        <f>vendors!C705</f>
        <v>0</v>
      </c>
      <c r="D703">
        <f t="shared" si="22"/>
        <v>0</v>
      </c>
      <c r="E703" t="str">
        <f t="shared" si="23"/>
        <v>X</v>
      </c>
    </row>
    <row r="704" spans="1:5" x14ac:dyDescent="0.3">
      <c r="A704">
        <f>vendors!B706</f>
        <v>0</v>
      </c>
      <c r="B704" s="5">
        <f>vendors!C706</f>
        <v>0</v>
      </c>
      <c r="D704">
        <f t="shared" si="22"/>
        <v>0</v>
      </c>
      <c r="E704" t="str">
        <f t="shared" si="23"/>
        <v>X</v>
      </c>
    </row>
    <row r="705" spans="1:5" x14ac:dyDescent="0.3">
      <c r="A705">
        <f>vendors!B707</f>
        <v>0</v>
      </c>
      <c r="B705" s="5">
        <f>vendors!C707</f>
        <v>0</v>
      </c>
      <c r="D705">
        <f t="shared" si="22"/>
        <v>0</v>
      </c>
      <c r="E705" t="str">
        <f t="shared" si="23"/>
        <v>X</v>
      </c>
    </row>
    <row r="706" spans="1:5" x14ac:dyDescent="0.3">
      <c r="A706">
        <f>vendors!B708</f>
        <v>0</v>
      </c>
      <c r="B706" s="5">
        <f>vendors!C708</f>
        <v>0</v>
      </c>
      <c r="D706">
        <f t="shared" si="22"/>
        <v>0</v>
      </c>
      <c r="E706" t="str">
        <f t="shared" si="23"/>
        <v>X</v>
      </c>
    </row>
    <row r="707" spans="1:5" x14ac:dyDescent="0.3">
      <c r="A707">
        <f>vendors!B709</f>
        <v>0</v>
      </c>
      <c r="B707" s="5">
        <f>vendors!C709</f>
        <v>0</v>
      </c>
      <c r="D707">
        <f t="shared" ref="D707:D770" si="24">C707*B707</f>
        <v>0</v>
      </c>
      <c r="E707" t="str">
        <f t="shared" ref="E707:E770" si="25">IF(C707&lt;500, "X", "")</f>
        <v>X</v>
      </c>
    </row>
    <row r="708" spans="1:5" x14ac:dyDescent="0.3">
      <c r="A708">
        <f>vendors!B710</f>
        <v>0</v>
      </c>
      <c r="B708" s="5">
        <f>vendors!C710</f>
        <v>0</v>
      </c>
      <c r="D708">
        <f t="shared" si="24"/>
        <v>0</v>
      </c>
      <c r="E708" t="str">
        <f t="shared" si="25"/>
        <v>X</v>
      </c>
    </row>
    <row r="709" spans="1:5" x14ac:dyDescent="0.3">
      <c r="A709">
        <f>vendors!B711</f>
        <v>0</v>
      </c>
      <c r="B709" s="5">
        <f>vendors!C711</f>
        <v>0</v>
      </c>
      <c r="D709">
        <f t="shared" si="24"/>
        <v>0</v>
      </c>
      <c r="E709" t="str">
        <f t="shared" si="25"/>
        <v>X</v>
      </c>
    </row>
    <row r="710" spans="1:5" x14ac:dyDescent="0.3">
      <c r="A710">
        <f>vendors!B712</f>
        <v>0</v>
      </c>
      <c r="B710" s="5">
        <f>vendors!C712</f>
        <v>0</v>
      </c>
      <c r="D710">
        <f t="shared" si="24"/>
        <v>0</v>
      </c>
      <c r="E710" t="str">
        <f t="shared" si="25"/>
        <v>X</v>
      </c>
    </row>
    <row r="711" spans="1:5" x14ac:dyDescent="0.3">
      <c r="A711">
        <f>vendors!B713</f>
        <v>0</v>
      </c>
      <c r="B711" s="5">
        <f>vendors!C713</f>
        <v>0</v>
      </c>
      <c r="D711">
        <f t="shared" si="24"/>
        <v>0</v>
      </c>
      <c r="E711" t="str">
        <f t="shared" si="25"/>
        <v>X</v>
      </c>
    </row>
    <row r="712" spans="1:5" x14ac:dyDescent="0.3">
      <c r="A712">
        <f>vendors!B714</f>
        <v>0</v>
      </c>
      <c r="B712" s="5">
        <f>vendors!C714</f>
        <v>0</v>
      </c>
      <c r="D712">
        <f t="shared" si="24"/>
        <v>0</v>
      </c>
      <c r="E712" t="str">
        <f t="shared" si="25"/>
        <v>X</v>
      </c>
    </row>
    <row r="713" spans="1:5" x14ac:dyDescent="0.3">
      <c r="A713">
        <f>vendors!B715</f>
        <v>0</v>
      </c>
      <c r="B713" s="5">
        <f>vendors!C715</f>
        <v>0</v>
      </c>
      <c r="D713">
        <f t="shared" si="24"/>
        <v>0</v>
      </c>
      <c r="E713" t="str">
        <f t="shared" si="25"/>
        <v>X</v>
      </c>
    </row>
    <row r="714" spans="1:5" x14ac:dyDescent="0.3">
      <c r="A714">
        <f>vendors!B716</f>
        <v>0</v>
      </c>
      <c r="B714" s="5">
        <f>vendors!C716</f>
        <v>0</v>
      </c>
      <c r="D714">
        <f t="shared" si="24"/>
        <v>0</v>
      </c>
      <c r="E714" t="str">
        <f t="shared" si="25"/>
        <v>X</v>
      </c>
    </row>
    <row r="715" spans="1:5" x14ac:dyDescent="0.3">
      <c r="A715">
        <f>vendors!B717</f>
        <v>0</v>
      </c>
      <c r="B715" s="5">
        <f>vendors!C717</f>
        <v>0</v>
      </c>
      <c r="D715">
        <f t="shared" si="24"/>
        <v>0</v>
      </c>
      <c r="E715" t="str">
        <f t="shared" si="25"/>
        <v>X</v>
      </c>
    </row>
    <row r="716" spans="1:5" x14ac:dyDescent="0.3">
      <c r="A716">
        <f>vendors!B718</f>
        <v>0</v>
      </c>
      <c r="B716" s="5">
        <f>vendors!C718</f>
        <v>0</v>
      </c>
      <c r="D716">
        <f t="shared" si="24"/>
        <v>0</v>
      </c>
      <c r="E716" t="str">
        <f t="shared" si="25"/>
        <v>X</v>
      </c>
    </row>
    <row r="717" spans="1:5" x14ac:dyDescent="0.3">
      <c r="A717">
        <f>vendors!B719</f>
        <v>0</v>
      </c>
      <c r="B717" s="5">
        <f>vendors!C719</f>
        <v>0</v>
      </c>
      <c r="D717">
        <f t="shared" si="24"/>
        <v>0</v>
      </c>
      <c r="E717" t="str">
        <f t="shared" si="25"/>
        <v>X</v>
      </c>
    </row>
    <row r="718" spans="1:5" x14ac:dyDescent="0.3">
      <c r="A718">
        <f>vendors!B720</f>
        <v>0</v>
      </c>
      <c r="B718" s="5">
        <f>vendors!C720</f>
        <v>0</v>
      </c>
      <c r="D718">
        <f t="shared" si="24"/>
        <v>0</v>
      </c>
      <c r="E718" t="str">
        <f t="shared" si="25"/>
        <v>X</v>
      </c>
    </row>
    <row r="719" spans="1:5" x14ac:dyDescent="0.3">
      <c r="A719">
        <f>vendors!B721</f>
        <v>0</v>
      </c>
      <c r="B719" s="5">
        <f>vendors!C721</f>
        <v>0</v>
      </c>
      <c r="D719">
        <f t="shared" si="24"/>
        <v>0</v>
      </c>
      <c r="E719" t="str">
        <f t="shared" si="25"/>
        <v>X</v>
      </c>
    </row>
    <row r="720" spans="1:5" x14ac:dyDescent="0.3">
      <c r="A720">
        <f>vendors!B722</f>
        <v>0</v>
      </c>
      <c r="B720" s="5">
        <f>vendors!C722</f>
        <v>0</v>
      </c>
      <c r="D720">
        <f t="shared" si="24"/>
        <v>0</v>
      </c>
      <c r="E720" t="str">
        <f t="shared" si="25"/>
        <v>X</v>
      </c>
    </row>
    <row r="721" spans="1:5" x14ac:dyDescent="0.3">
      <c r="A721">
        <f>vendors!B723</f>
        <v>0</v>
      </c>
      <c r="B721" s="5">
        <f>vendors!C723</f>
        <v>0</v>
      </c>
      <c r="D721">
        <f t="shared" si="24"/>
        <v>0</v>
      </c>
      <c r="E721" t="str">
        <f t="shared" si="25"/>
        <v>X</v>
      </c>
    </row>
    <row r="722" spans="1:5" x14ac:dyDescent="0.3">
      <c r="A722">
        <f>vendors!B724</f>
        <v>0</v>
      </c>
      <c r="B722" s="5">
        <f>vendors!C724</f>
        <v>0</v>
      </c>
      <c r="D722">
        <f t="shared" si="24"/>
        <v>0</v>
      </c>
      <c r="E722" t="str">
        <f t="shared" si="25"/>
        <v>X</v>
      </c>
    </row>
    <row r="723" spans="1:5" x14ac:dyDescent="0.3">
      <c r="A723">
        <f>vendors!B725</f>
        <v>0</v>
      </c>
      <c r="B723" s="5">
        <f>vendors!C725</f>
        <v>0</v>
      </c>
      <c r="D723">
        <f t="shared" si="24"/>
        <v>0</v>
      </c>
      <c r="E723" t="str">
        <f t="shared" si="25"/>
        <v>X</v>
      </c>
    </row>
    <row r="724" spans="1:5" x14ac:dyDescent="0.3">
      <c r="A724">
        <f>vendors!B726</f>
        <v>0</v>
      </c>
      <c r="B724" s="5">
        <f>vendors!C726</f>
        <v>0</v>
      </c>
      <c r="D724">
        <f t="shared" si="24"/>
        <v>0</v>
      </c>
      <c r="E724" t="str">
        <f t="shared" si="25"/>
        <v>X</v>
      </c>
    </row>
    <row r="725" spans="1:5" x14ac:dyDescent="0.3">
      <c r="A725">
        <f>vendors!B727</f>
        <v>0</v>
      </c>
      <c r="B725" s="5">
        <f>vendors!C727</f>
        <v>0</v>
      </c>
      <c r="D725">
        <f t="shared" si="24"/>
        <v>0</v>
      </c>
      <c r="E725" t="str">
        <f t="shared" si="25"/>
        <v>X</v>
      </c>
    </row>
    <row r="726" spans="1:5" x14ac:dyDescent="0.3">
      <c r="A726">
        <f>vendors!B728</f>
        <v>0</v>
      </c>
      <c r="B726" s="5">
        <f>vendors!C728</f>
        <v>0</v>
      </c>
      <c r="D726">
        <f t="shared" si="24"/>
        <v>0</v>
      </c>
      <c r="E726" t="str">
        <f t="shared" si="25"/>
        <v>X</v>
      </c>
    </row>
    <row r="727" spans="1:5" x14ac:dyDescent="0.3">
      <c r="A727">
        <f>vendors!B729</f>
        <v>0</v>
      </c>
      <c r="B727" s="5">
        <f>vendors!C729</f>
        <v>0</v>
      </c>
      <c r="D727">
        <f t="shared" si="24"/>
        <v>0</v>
      </c>
      <c r="E727" t="str">
        <f t="shared" si="25"/>
        <v>X</v>
      </c>
    </row>
    <row r="728" spans="1:5" x14ac:dyDescent="0.3">
      <c r="A728">
        <f>vendors!B730</f>
        <v>0</v>
      </c>
      <c r="B728" s="5">
        <f>vendors!C730</f>
        <v>0</v>
      </c>
      <c r="D728">
        <f t="shared" si="24"/>
        <v>0</v>
      </c>
      <c r="E728" t="str">
        <f t="shared" si="25"/>
        <v>X</v>
      </c>
    </row>
    <row r="729" spans="1:5" x14ac:dyDescent="0.3">
      <c r="A729">
        <f>vendors!B731</f>
        <v>0</v>
      </c>
      <c r="B729" s="5">
        <f>vendors!C731</f>
        <v>0</v>
      </c>
      <c r="D729">
        <f t="shared" si="24"/>
        <v>0</v>
      </c>
      <c r="E729" t="str">
        <f t="shared" si="25"/>
        <v>X</v>
      </c>
    </row>
    <row r="730" spans="1:5" x14ac:dyDescent="0.3">
      <c r="A730">
        <f>vendors!B732</f>
        <v>0</v>
      </c>
      <c r="B730" s="5">
        <f>vendors!C732</f>
        <v>0</v>
      </c>
      <c r="D730">
        <f t="shared" si="24"/>
        <v>0</v>
      </c>
      <c r="E730" t="str">
        <f t="shared" si="25"/>
        <v>X</v>
      </c>
    </row>
    <row r="731" spans="1:5" x14ac:dyDescent="0.3">
      <c r="A731">
        <f>vendors!B733</f>
        <v>0</v>
      </c>
      <c r="B731" s="5">
        <f>vendors!C733</f>
        <v>0</v>
      </c>
      <c r="D731">
        <f t="shared" si="24"/>
        <v>0</v>
      </c>
      <c r="E731" t="str">
        <f t="shared" si="25"/>
        <v>X</v>
      </c>
    </row>
    <row r="732" spans="1:5" x14ac:dyDescent="0.3">
      <c r="A732">
        <f>vendors!B734</f>
        <v>0</v>
      </c>
      <c r="B732" s="5">
        <f>vendors!C734</f>
        <v>0</v>
      </c>
      <c r="D732">
        <f t="shared" si="24"/>
        <v>0</v>
      </c>
      <c r="E732" t="str">
        <f t="shared" si="25"/>
        <v>X</v>
      </c>
    </row>
    <row r="733" spans="1:5" x14ac:dyDescent="0.3">
      <c r="A733">
        <f>vendors!B735</f>
        <v>0</v>
      </c>
      <c r="B733" s="5">
        <f>vendors!C735</f>
        <v>0</v>
      </c>
      <c r="D733">
        <f t="shared" si="24"/>
        <v>0</v>
      </c>
      <c r="E733" t="str">
        <f t="shared" si="25"/>
        <v>X</v>
      </c>
    </row>
    <row r="734" spans="1:5" x14ac:dyDescent="0.3">
      <c r="A734">
        <f>vendors!B736</f>
        <v>0</v>
      </c>
      <c r="B734" s="5">
        <f>vendors!C736</f>
        <v>0</v>
      </c>
      <c r="D734">
        <f t="shared" si="24"/>
        <v>0</v>
      </c>
      <c r="E734" t="str">
        <f t="shared" si="25"/>
        <v>X</v>
      </c>
    </row>
    <row r="735" spans="1:5" x14ac:dyDescent="0.3">
      <c r="A735">
        <f>vendors!B737</f>
        <v>0</v>
      </c>
      <c r="B735" s="5">
        <f>vendors!C737</f>
        <v>0</v>
      </c>
      <c r="D735">
        <f t="shared" si="24"/>
        <v>0</v>
      </c>
      <c r="E735" t="str">
        <f t="shared" si="25"/>
        <v>X</v>
      </c>
    </row>
    <row r="736" spans="1:5" x14ac:dyDescent="0.3">
      <c r="A736">
        <f>vendors!B738</f>
        <v>0</v>
      </c>
      <c r="B736" s="5">
        <f>vendors!C738</f>
        <v>0</v>
      </c>
      <c r="D736">
        <f t="shared" si="24"/>
        <v>0</v>
      </c>
      <c r="E736" t="str">
        <f t="shared" si="25"/>
        <v>X</v>
      </c>
    </row>
    <row r="737" spans="1:5" x14ac:dyDescent="0.3">
      <c r="A737">
        <f>vendors!B739</f>
        <v>0</v>
      </c>
      <c r="B737" s="5">
        <f>vendors!C739</f>
        <v>0</v>
      </c>
      <c r="D737">
        <f t="shared" si="24"/>
        <v>0</v>
      </c>
      <c r="E737" t="str">
        <f t="shared" si="25"/>
        <v>X</v>
      </c>
    </row>
    <row r="738" spans="1:5" x14ac:dyDescent="0.3">
      <c r="A738">
        <f>vendors!B740</f>
        <v>0</v>
      </c>
      <c r="B738" s="5">
        <f>vendors!C740</f>
        <v>0</v>
      </c>
      <c r="D738">
        <f t="shared" si="24"/>
        <v>0</v>
      </c>
      <c r="E738" t="str">
        <f t="shared" si="25"/>
        <v>X</v>
      </c>
    </row>
    <row r="739" spans="1:5" x14ac:dyDescent="0.3">
      <c r="A739">
        <f>vendors!B741</f>
        <v>0</v>
      </c>
      <c r="B739" s="5">
        <f>vendors!C741</f>
        <v>0</v>
      </c>
      <c r="D739">
        <f t="shared" si="24"/>
        <v>0</v>
      </c>
      <c r="E739" t="str">
        <f t="shared" si="25"/>
        <v>X</v>
      </c>
    </row>
    <row r="740" spans="1:5" x14ac:dyDescent="0.3">
      <c r="A740">
        <f>vendors!B742</f>
        <v>0</v>
      </c>
      <c r="B740" s="5">
        <f>vendors!C742</f>
        <v>0</v>
      </c>
      <c r="D740">
        <f t="shared" si="24"/>
        <v>0</v>
      </c>
      <c r="E740" t="str">
        <f t="shared" si="25"/>
        <v>X</v>
      </c>
    </row>
    <row r="741" spans="1:5" x14ac:dyDescent="0.3">
      <c r="A741">
        <f>vendors!B743</f>
        <v>0</v>
      </c>
      <c r="B741" s="5">
        <f>vendors!C743</f>
        <v>0</v>
      </c>
      <c r="D741">
        <f t="shared" si="24"/>
        <v>0</v>
      </c>
      <c r="E741" t="str">
        <f t="shared" si="25"/>
        <v>X</v>
      </c>
    </row>
    <row r="742" spans="1:5" x14ac:dyDescent="0.3">
      <c r="A742">
        <f>vendors!B744</f>
        <v>0</v>
      </c>
      <c r="B742" s="5">
        <f>vendors!C744</f>
        <v>0</v>
      </c>
      <c r="D742">
        <f t="shared" si="24"/>
        <v>0</v>
      </c>
      <c r="E742" t="str">
        <f t="shared" si="25"/>
        <v>X</v>
      </c>
    </row>
    <row r="743" spans="1:5" x14ac:dyDescent="0.3">
      <c r="A743">
        <f>vendors!B745</f>
        <v>0</v>
      </c>
      <c r="B743" s="5">
        <f>vendors!C745</f>
        <v>0</v>
      </c>
      <c r="D743">
        <f t="shared" si="24"/>
        <v>0</v>
      </c>
      <c r="E743" t="str">
        <f t="shared" si="25"/>
        <v>X</v>
      </c>
    </row>
    <row r="744" spans="1:5" x14ac:dyDescent="0.3">
      <c r="A744">
        <f>vendors!B746</f>
        <v>0</v>
      </c>
      <c r="B744" s="5">
        <f>vendors!C746</f>
        <v>0</v>
      </c>
      <c r="D744">
        <f t="shared" si="24"/>
        <v>0</v>
      </c>
      <c r="E744" t="str">
        <f t="shared" si="25"/>
        <v>X</v>
      </c>
    </row>
    <row r="745" spans="1:5" x14ac:dyDescent="0.3">
      <c r="A745">
        <f>vendors!B747</f>
        <v>0</v>
      </c>
      <c r="B745" s="5">
        <f>vendors!C747</f>
        <v>0</v>
      </c>
      <c r="D745">
        <f t="shared" si="24"/>
        <v>0</v>
      </c>
      <c r="E745" t="str">
        <f t="shared" si="25"/>
        <v>X</v>
      </c>
    </row>
    <row r="746" spans="1:5" x14ac:dyDescent="0.3">
      <c r="A746">
        <f>vendors!B748</f>
        <v>0</v>
      </c>
      <c r="B746" s="5">
        <f>vendors!C748</f>
        <v>0</v>
      </c>
      <c r="D746">
        <f t="shared" si="24"/>
        <v>0</v>
      </c>
      <c r="E746" t="str">
        <f t="shared" si="25"/>
        <v>X</v>
      </c>
    </row>
    <row r="747" spans="1:5" x14ac:dyDescent="0.3">
      <c r="A747">
        <f>vendors!B749</f>
        <v>0</v>
      </c>
      <c r="B747" s="5">
        <f>vendors!C749</f>
        <v>0</v>
      </c>
      <c r="D747">
        <f t="shared" si="24"/>
        <v>0</v>
      </c>
      <c r="E747" t="str">
        <f t="shared" si="25"/>
        <v>X</v>
      </c>
    </row>
    <row r="748" spans="1:5" x14ac:dyDescent="0.3">
      <c r="A748">
        <f>vendors!B750</f>
        <v>0</v>
      </c>
      <c r="B748" s="5">
        <f>vendors!C750</f>
        <v>0</v>
      </c>
      <c r="D748">
        <f t="shared" si="24"/>
        <v>0</v>
      </c>
      <c r="E748" t="str">
        <f t="shared" si="25"/>
        <v>X</v>
      </c>
    </row>
    <row r="749" spans="1:5" x14ac:dyDescent="0.3">
      <c r="A749">
        <f>vendors!B751</f>
        <v>0</v>
      </c>
      <c r="B749" s="5">
        <f>vendors!C751</f>
        <v>0</v>
      </c>
      <c r="D749">
        <f t="shared" si="24"/>
        <v>0</v>
      </c>
      <c r="E749" t="str">
        <f t="shared" si="25"/>
        <v>X</v>
      </c>
    </row>
    <row r="750" spans="1:5" x14ac:dyDescent="0.3">
      <c r="A750">
        <f>vendors!B752</f>
        <v>0</v>
      </c>
      <c r="B750" s="5">
        <f>vendors!C752</f>
        <v>0</v>
      </c>
      <c r="D750">
        <f t="shared" si="24"/>
        <v>0</v>
      </c>
      <c r="E750" t="str">
        <f t="shared" si="25"/>
        <v>X</v>
      </c>
    </row>
    <row r="751" spans="1:5" x14ac:dyDescent="0.3">
      <c r="A751">
        <f>vendors!B753</f>
        <v>0</v>
      </c>
      <c r="B751" s="5">
        <f>vendors!C753</f>
        <v>0</v>
      </c>
      <c r="D751">
        <f t="shared" si="24"/>
        <v>0</v>
      </c>
      <c r="E751" t="str">
        <f t="shared" si="25"/>
        <v>X</v>
      </c>
    </row>
    <row r="752" spans="1:5" x14ac:dyDescent="0.3">
      <c r="A752">
        <f>vendors!B754</f>
        <v>0</v>
      </c>
      <c r="B752" s="5">
        <f>vendors!C754</f>
        <v>0</v>
      </c>
      <c r="D752">
        <f t="shared" si="24"/>
        <v>0</v>
      </c>
      <c r="E752" t="str">
        <f t="shared" si="25"/>
        <v>X</v>
      </c>
    </row>
    <row r="753" spans="1:5" x14ac:dyDescent="0.3">
      <c r="A753">
        <f>vendors!B755</f>
        <v>0</v>
      </c>
      <c r="B753" s="5">
        <f>vendors!C755</f>
        <v>0</v>
      </c>
      <c r="D753">
        <f t="shared" si="24"/>
        <v>0</v>
      </c>
      <c r="E753" t="str">
        <f t="shared" si="25"/>
        <v>X</v>
      </c>
    </row>
    <row r="754" spans="1:5" x14ac:dyDescent="0.3">
      <c r="A754">
        <f>vendors!B756</f>
        <v>0</v>
      </c>
      <c r="B754" s="5">
        <f>vendors!C756</f>
        <v>0</v>
      </c>
      <c r="D754">
        <f t="shared" si="24"/>
        <v>0</v>
      </c>
      <c r="E754" t="str">
        <f t="shared" si="25"/>
        <v>X</v>
      </c>
    </row>
    <row r="755" spans="1:5" x14ac:dyDescent="0.3">
      <c r="A755">
        <f>vendors!B757</f>
        <v>0</v>
      </c>
      <c r="B755" s="5">
        <f>vendors!C757</f>
        <v>0</v>
      </c>
      <c r="D755">
        <f t="shared" si="24"/>
        <v>0</v>
      </c>
      <c r="E755" t="str">
        <f t="shared" si="25"/>
        <v>X</v>
      </c>
    </row>
    <row r="756" spans="1:5" x14ac:dyDescent="0.3">
      <c r="A756">
        <f>vendors!B758</f>
        <v>0</v>
      </c>
      <c r="B756" s="5">
        <f>vendors!C758</f>
        <v>0</v>
      </c>
      <c r="D756">
        <f t="shared" si="24"/>
        <v>0</v>
      </c>
      <c r="E756" t="str">
        <f t="shared" si="25"/>
        <v>X</v>
      </c>
    </row>
    <row r="757" spans="1:5" x14ac:dyDescent="0.3">
      <c r="A757">
        <f>vendors!B759</f>
        <v>0</v>
      </c>
      <c r="B757" s="5">
        <f>vendors!C759</f>
        <v>0</v>
      </c>
      <c r="D757">
        <f t="shared" si="24"/>
        <v>0</v>
      </c>
      <c r="E757" t="str">
        <f t="shared" si="25"/>
        <v>X</v>
      </c>
    </row>
    <row r="758" spans="1:5" x14ac:dyDescent="0.3">
      <c r="A758">
        <f>vendors!B760</f>
        <v>0</v>
      </c>
      <c r="B758" s="5">
        <f>vendors!C760</f>
        <v>0</v>
      </c>
      <c r="D758">
        <f t="shared" si="24"/>
        <v>0</v>
      </c>
      <c r="E758" t="str">
        <f t="shared" si="25"/>
        <v>X</v>
      </c>
    </row>
    <row r="759" spans="1:5" x14ac:dyDescent="0.3">
      <c r="A759">
        <f>vendors!B761</f>
        <v>0</v>
      </c>
      <c r="B759" s="5">
        <f>vendors!C761</f>
        <v>0</v>
      </c>
      <c r="D759">
        <f t="shared" si="24"/>
        <v>0</v>
      </c>
      <c r="E759" t="str">
        <f t="shared" si="25"/>
        <v>X</v>
      </c>
    </row>
    <row r="760" spans="1:5" x14ac:dyDescent="0.3">
      <c r="A760">
        <f>vendors!B762</f>
        <v>0</v>
      </c>
      <c r="B760" s="5">
        <f>vendors!C762</f>
        <v>0</v>
      </c>
      <c r="D760">
        <f t="shared" si="24"/>
        <v>0</v>
      </c>
      <c r="E760" t="str">
        <f t="shared" si="25"/>
        <v>X</v>
      </c>
    </row>
    <row r="761" spans="1:5" x14ac:dyDescent="0.3">
      <c r="A761">
        <f>vendors!B763</f>
        <v>0</v>
      </c>
      <c r="B761" s="5">
        <f>vendors!C763</f>
        <v>0</v>
      </c>
      <c r="D761">
        <f t="shared" si="24"/>
        <v>0</v>
      </c>
      <c r="E761" t="str">
        <f t="shared" si="25"/>
        <v>X</v>
      </c>
    </row>
    <row r="762" spans="1:5" x14ac:dyDescent="0.3">
      <c r="A762">
        <f>vendors!B764</f>
        <v>0</v>
      </c>
      <c r="B762" s="5">
        <f>vendors!C764</f>
        <v>0</v>
      </c>
      <c r="D762">
        <f t="shared" si="24"/>
        <v>0</v>
      </c>
      <c r="E762" t="str">
        <f t="shared" si="25"/>
        <v>X</v>
      </c>
    </row>
    <row r="763" spans="1:5" x14ac:dyDescent="0.3">
      <c r="A763">
        <f>vendors!B765</f>
        <v>0</v>
      </c>
      <c r="B763" s="5">
        <f>vendors!C765</f>
        <v>0</v>
      </c>
      <c r="D763">
        <f t="shared" si="24"/>
        <v>0</v>
      </c>
      <c r="E763" t="str">
        <f t="shared" si="25"/>
        <v>X</v>
      </c>
    </row>
    <row r="764" spans="1:5" x14ac:dyDescent="0.3">
      <c r="A764">
        <f>vendors!B766</f>
        <v>0</v>
      </c>
      <c r="B764" s="5">
        <f>vendors!C766</f>
        <v>0</v>
      </c>
      <c r="D764">
        <f t="shared" si="24"/>
        <v>0</v>
      </c>
      <c r="E764" t="str">
        <f t="shared" si="25"/>
        <v>X</v>
      </c>
    </row>
    <row r="765" spans="1:5" x14ac:dyDescent="0.3">
      <c r="A765">
        <f>vendors!B767</f>
        <v>0</v>
      </c>
      <c r="B765" s="5">
        <f>vendors!C767</f>
        <v>0</v>
      </c>
      <c r="D765">
        <f t="shared" si="24"/>
        <v>0</v>
      </c>
      <c r="E765" t="str">
        <f t="shared" si="25"/>
        <v>X</v>
      </c>
    </row>
    <row r="766" spans="1:5" x14ac:dyDescent="0.3">
      <c r="A766">
        <f>vendors!B768</f>
        <v>0</v>
      </c>
      <c r="B766" s="5">
        <f>vendors!C768</f>
        <v>0</v>
      </c>
      <c r="D766">
        <f t="shared" si="24"/>
        <v>0</v>
      </c>
      <c r="E766" t="str">
        <f t="shared" si="25"/>
        <v>X</v>
      </c>
    </row>
    <row r="767" spans="1:5" x14ac:dyDescent="0.3">
      <c r="A767">
        <f>vendors!B769</f>
        <v>0</v>
      </c>
      <c r="B767" s="5">
        <f>vendors!C769</f>
        <v>0</v>
      </c>
      <c r="D767">
        <f t="shared" si="24"/>
        <v>0</v>
      </c>
      <c r="E767" t="str">
        <f t="shared" si="25"/>
        <v>X</v>
      </c>
    </row>
    <row r="768" spans="1:5" x14ac:dyDescent="0.3">
      <c r="A768">
        <f>vendors!B770</f>
        <v>0</v>
      </c>
      <c r="B768" s="5">
        <f>vendors!C770</f>
        <v>0</v>
      </c>
      <c r="D768">
        <f t="shared" si="24"/>
        <v>0</v>
      </c>
      <c r="E768" t="str">
        <f t="shared" si="25"/>
        <v>X</v>
      </c>
    </row>
    <row r="769" spans="1:5" x14ac:dyDescent="0.3">
      <c r="A769">
        <f>vendors!B771</f>
        <v>0</v>
      </c>
      <c r="B769" s="5">
        <f>vendors!C771</f>
        <v>0</v>
      </c>
      <c r="D769">
        <f t="shared" si="24"/>
        <v>0</v>
      </c>
      <c r="E769" t="str">
        <f t="shared" si="25"/>
        <v>X</v>
      </c>
    </row>
    <row r="770" spans="1:5" x14ac:dyDescent="0.3">
      <c r="A770">
        <f>vendors!B772</f>
        <v>0</v>
      </c>
      <c r="B770" s="5">
        <f>vendors!C772</f>
        <v>0</v>
      </c>
      <c r="D770">
        <f t="shared" si="24"/>
        <v>0</v>
      </c>
      <c r="E770" t="str">
        <f t="shared" si="25"/>
        <v>X</v>
      </c>
    </row>
    <row r="771" spans="1:5" x14ac:dyDescent="0.3">
      <c r="A771">
        <f>vendors!B773</f>
        <v>0</v>
      </c>
      <c r="B771" s="5">
        <f>vendors!C773</f>
        <v>0</v>
      </c>
      <c r="D771">
        <f t="shared" ref="D771:D834" si="26">C771*B771</f>
        <v>0</v>
      </c>
      <c r="E771" t="str">
        <f t="shared" ref="E771:E834" si="27">IF(C771&lt;500, "X", "")</f>
        <v>X</v>
      </c>
    </row>
    <row r="772" spans="1:5" x14ac:dyDescent="0.3">
      <c r="A772">
        <f>vendors!B774</f>
        <v>0</v>
      </c>
      <c r="B772" s="5">
        <f>vendors!C774</f>
        <v>0</v>
      </c>
      <c r="D772">
        <f t="shared" si="26"/>
        <v>0</v>
      </c>
      <c r="E772" t="str">
        <f t="shared" si="27"/>
        <v>X</v>
      </c>
    </row>
    <row r="773" spans="1:5" x14ac:dyDescent="0.3">
      <c r="A773">
        <f>vendors!B775</f>
        <v>0</v>
      </c>
      <c r="B773" s="5">
        <f>vendors!C775</f>
        <v>0</v>
      </c>
      <c r="D773">
        <f t="shared" si="26"/>
        <v>0</v>
      </c>
      <c r="E773" t="str">
        <f t="shared" si="27"/>
        <v>X</v>
      </c>
    </row>
    <row r="774" spans="1:5" x14ac:dyDescent="0.3">
      <c r="A774">
        <f>vendors!B776</f>
        <v>0</v>
      </c>
      <c r="B774" s="5">
        <f>vendors!C776</f>
        <v>0</v>
      </c>
      <c r="D774">
        <f t="shared" si="26"/>
        <v>0</v>
      </c>
      <c r="E774" t="str">
        <f t="shared" si="27"/>
        <v>X</v>
      </c>
    </row>
    <row r="775" spans="1:5" x14ac:dyDescent="0.3">
      <c r="A775">
        <f>vendors!B777</f>
        <v>0</v>
      </c>
      <c r="B775" s="5">
        <f>vendors!C777</f>
        <v>0</v>
      </c>
      <c r="D775">
        <f t="shared" si="26"/>
        <v>0</v>
      </c>
      <c r="E775" t="str">
        <f t="shared" si="27"/>
        <v>X</v>
      </c>
    </row>
    <row r="776" spans="1:5" x14ac:dyDescent="0.3">
      <c r="A776">
        <f>vendors!B778</f>
        <v>0</v>
      </c>
      <c r="B776" s="5">
        <f>vendors!C778</f>
        <v>0</v>
      </c>
      <c r="D776">
        <f t="shared" si="26"/>
        <v>0</v>
      </c>
      <c r="E776" t="str">
        <f t="shared" si="27"/>
        <v>X</v>
      </c>
    </row>
    <row r="777" spans="1:5" x14ac:dyDescent="0.3">
      <c r="A777">
        <f>vendors!B779</f>
        <v>0</v>
      </c>
      <c r="B777" s="5">
        <f>vendors!C779</f>
        <v>0</v>
      </c>
      <c r="D777">
        <f t="shared" si="26"/>
        <v>0</v>
      </c>
      <c r="E777" t="str">
        <f t="shared" si="27"/>
        <v>X</v>
      </c>
    </row>
    <row r="778" spans="1:5" x14ac:dyDescent="0.3">
      <c r="A778">
        <f>vendors!B780</f>
        <v>0</v>
      </c>
      <c r="B778" s="5">
        <f>vendors!C780</f>
        <v>0</v>
      </c>
      <c r="D778">
        <f t="shared" si="26"/>
        <v>0</v>
      </c>
      <c r="E778" t="str">
        <f t="shared" si="27"/>
        <v>X</v>
      </c>
    </row>
    <row r="779" spans="1:5" x14ac:dyDescent="0.3">
      <c r="A779">
        <f>vendors!B781</f>
        <v>0</v>
      </c>
      <c r="B779" s="5">
        <f>vendors!C781</f>
        <v>0</v>
      </c>
      <c r="D779">
        <f t="shared" si="26"/>
        <v>0</v>
      </c>
      <c r="E779" t="str">
        <f t="shared" si="27"/>
        <v>X</v>
      </c>
    </row>
    <row r="780" spans="1:5" x14ac:dyDescent="0.3">
      <c r="A780">
        <f>vendors!B782</f>
        <v>0</v>
      </c>
      <c r="B780" s="5">
        <f>vendors!C782</f>
        <v>0</v>
      </c>
      <c r="D780">
        <f t="shared" si="26"/>
        <v>0</v>
      </c>
      <c r="E780" t="str">
        <f t="shared" si="27"/>
        <v>X</v>
      </c>
    </row>
    <row r="781" spans="1:5" x14ac:dyDescent="0.3">
      <c r="A781">
        <f>vendors!B783</f>
        <v>0</v>
      </c>
      <c r="B781" s="5">
        <f>vendors!C783</f>
        <v>0</v>
      </c>
      <c r="D781">
        <f t="shared" si="26"/>
        <v>0</v>
      </c>
      <c r="E781" t="str">
        <f t="shared" si="27"/>
        <v>X</v>
      </c>
    </row>
    <row r="782" spans="1:5" x14ac:dyDescent="0.3">
      <c r="A782">
        <f>vendors!B784</f>
        <v>0</v>
      </c>
      <c r="B782" s="5">
        <f>vendors!C784</f>
        <v>0</v>
      </c>
      <c r="D782">
        <f t="shared" si="26"/>
        <v>0</v>
      </c>
      <c r="E782" t="str">
        <f t="shared" si="27"/>
        <v>X</v>
      </c>
    </row>
    <row r="783" spans="1:5" x14ac:dyDescent="0.3">
      <c r="A783">
        <f>vendors!B785</f>
        <v>0</v>
      </c>
      <c r="B783" s="5">
        <f>vendors!C785</f>
        <v>0</v>
      </c>
      <c r="D783">
        <f t="shared" si="26"/>
        <v>0</v>
      </c>
      <c r="E783" t="str">
        <f t="shared" si="27"/>
        <v>X</v>
      </c>
    </row>
    <row r="784" spans="1:5" x14ac:dyDescent="0.3">
      <c r="A784">
        <f>vendors!B786</f>
        <v>0</v>
      </c>
      <c r="B784" s="5">
        <f>vendors!C786</f>
        <v>0</v>
      </c>
      <c r="D784">
        <f t="shared" si="26"/>
        <v>0</v>
      </c>
      <c r="E784" t="str">
        <f t="shared" si="27"/>
        <v>X</v>
      </c>
    </row>
    <row r="785" spans="1:5" x14ac:dyDescent="0.3">
      <c r="A785">
        <f>vendors!B787</f>
        <v>0</v>
      </c>
      <c r="B785" s="5">
        <f>vendors!C787</f>
        <v>0</v>
      </c>
      <c r="D785">
        <f t="shared" si="26"/>
        <v>0</v>
      </c>
      <c r="E785" t="str">
        <f t="shared" si="27"/>
        <v>X</v>
      </c>
    </row>
    <row r="786" spans="1:5" x14ac:dyDescent="0.3">
      <c r="A786">
        <f>vendors!B788</f>
        <v>0</v>
      </c>
      <c r="B786" s="5">
        <f>vendors!C788</f>
        <v>0</v>
      </c>
      <c r="D786">
        <f t="shared" si="26"/>
        <v>0</v>
      </c>
      <c r="E786" t="str">
        <f t="shared" si="27"/>
        <v>X</v>
      </c>
    </row>
    <row r="787" spans="1:5" x14ac:dyDescent="0.3">
      <c r="A787">
        <f>vendors!B789</f>
        <v>0</v>
      </c>
      <c r="B787" s="5">
        <f>vendors!C789</f>
        <v>0</v>
      </c>
      <c r="D787">
        <f t="shared" si="26"/>
        <v>0</v>
      </c>
      <c r="E787" t="str">
        <f t="shared" si="27"/>
        <v>X</v>
      </c>
    </row>
    <row r="788" spans="1:5" x14ac:dyDescent="0.3">
      <c r="A788">
        <f>vendors!B790</f>
        <v>0</v>
      </c>
      <c r="B788" s="5">
        <f>vendors!C790</f>
        <v>0</v>
      </c>
      <c r="D788">
        <f t="shared" si="26"/>
        <v>0</v>
      </c>
      <c r="E788" t="str">
        <f t="shared" si="27"/>
        <v>X</v>
      </c>
    </row>
    <row r="789" spans="1:5" x14ac:dyDescent="0.3">
      <c r="A789">
        <f>vendors!B791</f>
        <v>0</v>
      </c>
      <c r="B789" s="5">
        <f>vendors!C791</f>
        <v>0</v>
      </c>
      <c r="D789">
        <f t="shared" si="26"/>
        <v>0</v>
      </c>
      <c r="E789" t="str">
        <f t="shared" si="27"/>
        <v>X</v>
      </c>
    </row>
    <row r="790" spans="1:5" x14ac:dyDescent="0.3">
      <c r="A790">
        <f>vendors!B792</f>
        <v>0</v>
      </c>
      <c r="B790" s="5">
        <f>vendors!C792</f>
        <v>0</v>
      </c>
      <c r="D790">
        <f t="shared" si="26"/>
        <v>0</v>
      </c>
      <c r="E790" t="str">
        <f t="shared" si="27"/>
        <v>X</v>
      </c>
    </row>
    <row r="791" spans="1:5" x14ac:dyDescent="0.3">
      <c r="A791">
        <f>vendors!B793</f>
        <v>0</v>
      </c>
      <c r="B791" s="5">
        <f>vendors!C793</f>
        <v>0</v>
      </c>
      <c r="D791">
        <f t="shared" si="26"/>
        <v>0</v>
      </c>
      <c r="E791" t="str">
        <f t="shared" si="27"/>
        <v>X</v>
      </c>
    </row>
    <row r="792" spans="1:5" x14ac:dyDescent="0.3">
      <c r="A792">
        <f>vendors!B794</f>
        <v>0</v>
      </c>
      <c r="B792" s="5">
        <f>vendors!C794</f>
        <v>0</v>
      </c>
      <c r="D792">
        <f t="shared" si="26"/>
        <v>0</v>
      </c>
      <c r="E792" t="str">
        <f t="shared" si="27"/>
        <v>X</v>
      </c>
    </row>
    <row r="793" spans="1:5" x14ac:dyDescent="0.3">
      <c r="A793">
        <f>vendors!B795</f>
        <v>0</v>
      </c>
      <c r="B793" s="5">
        <f>vendors!C795</f>
        <v>0</v>
      </c>
      <c r="D793">
        <f t="shared" si="26"/>
        <v>0</v>
      </c>
      <c r="E793" t="str">
        <f t="shared" si="27"/>
        <v>X</v>
      </c>
    </row>
    <row r="794" spans="1:5" x14ac:dyDescent="0.3">
      <c r="A794">
        <f>vendors!B796</f>
        <v>0</v>
      </c>
      <c r="B794" s="5">
        <f>vendors!C796</f>
        <v>0</v>
      </c>
      <c r="D794">
        <f t="shared" si="26"/>
        <v>0</v>
      </c>
      <c r="E794" t="str">
        <f t="shared" si="27"/>
        <v>X</v>
      </c>
    </row>
    <row r="795" spans="1:5" x14ac:dyDescent="0.3">
      <c r="A795">
        <f>vendors!B797</f>
        <v>0</v>
      </c>
      <c r="B795" s="5">
        <f>vendors!C797</f>
        <v>0</v>
      </c>
      <c r="D795">
        <f t="shared" si="26"/>
        <v>0</v>
      </c>
      <c r="E795" t="str">
        <f t="shared" si="27"/>
        <v>X</v>
      </c>
    </row>
    <row r="796" spans="1:5" x14ac:dyDescent="0.3">
      <c r="A796">
        <f>vendors!B798</f>
        <v>0</v>
      </c>
      <c r="B796" s="5">
        <f>vendors!C798</f>
        <v>0</v>
      </c>
      <c r="D796">
        <f t="shared" si="26"/>
        <v>0</v>
      </c>
      <c r="E796" t="str">
        <f t="shared" si="27"/>
        <v>X</v>
      </c>
    </row>
    <row r="797" spans="1:5" x14ac:dyDescent="0.3">
      <c r="A797">
        <f>vendors!B799</f>
        <v>0</v>
      </c>
      <c r="B797" s="5">
        <f>vendors!C799</f>
        <v>0</v>
      </c>
      <c r="D797">
        <f t="shared" si="26"/>
        <v>0</v>
      </c>
      <c r="E797" t="str">
        <f t="shared" si="27"/>
        <v>X</v>
      </c>
    </row>
    <row r="798" spans="1:5" x14ac:dyDescent="0.3">
      <c r="A798">
        <f>vendors!B800</f>
        <v>0</v>
      </c>
      <c r="B798" s="5">
        <f>vendors!C800</f>
        <v>0</v>
      </c>
      <c r="D798">
        <f t="shared" si="26"/>
        <v>0</v>
      </c>
      <c r="E798" t="str">
        <f t="shared" si="27"/>
        <v>X</v>
      </c>
    </row>
    <row r="799" spans="1:5" x14ac:dyDescent="0.3">
      <c r="A799">
        <f>vendors!B801</f>
        <v>0</v>
      </c>
      <c r="B799" s="5">
        <f>vendors!C801</f>
        <v>0</v>
      </c>
      <c r="D799">
        <f t="shared" si="26"/>
        <v>0</v>
      </c>
      <c r="E799" t="str">
        <f t="shared" si="27"/>
        <v>X</v>
      </c>
    </row>
    <row r="800" spans="1:5" x14ac:dyDescent="0.3">
      <c r="A800">
        <f>vendors!B802</f>
        <v>0</v>
      </c>
      <c r="B800" s="5">
        <f>vendors!C802</f>
        <v>0</v>
      </c>
      <c r="D800">
        <f t="shared" si="26"/>
        <v>0</v>
      </c>
      <c r="E800" t="str">
        <f t="shared" si="27"/>
        <v>X</v>
      </c>
    </row>
    <row r="801" spans="1:5" x14ac:dyDescent="0.3">
      <c r="A801">
        <f>vendors!B803</f>
        <v>0</v>
      </c>
      <c r="B801" s="5">
        <f>vendors!C803</f>
        <v>0</v>
      </c>
      <c r="D801">
        <f t="shared" si="26"/>
        <v>0</v>
      </c>
      <c r="E801" t="str">
        <f t="shared" si="27"/>
        <v>X</v>
      </c>
    </row>
    <row r="802" spans="1:5" x14ac:dyDescent="0.3">
      <c r="A802">
        <f>vendors!B804</f>
        <v>0</v>
      </c>
      <c r="B802" s="5">
        <f>vendors!C804</f>
        <v>0</v>
      </c>
      <c r="D802">
        <f t="shared" si="26"/>
        <v>0</v>
      </c>
      <c r="E802" t="str">
        <f t="shared" si="27"/>
        <v>X</v>
      </c>
    </row>
    <row r="803" spans="1:5" x14ac:dyDescent="0.3">
      <c r="A803">
        <f>vendors!B805</f>
        <v>0</v>
      </c>
      <c r="B803" s="5">
        <f>vendors!C805</f>
        <v>0</v>
      </c>
      <c r="D803">
        <f t="shared" si="26"/>
        <v>0</v>
      </c>
      <c r="E803" t="str">
        <f t="shared" si="27"/>
        <v>X</v>
      </c>
    </row>
    <row r="804" spans="1:5" x14ac:dyDescent="0.3">
      <c r="A804">
        <f>vendors!B806</f>
        <v>0</v>
      </c>
      <c r="B804" s="5">
        <f>vendors!C806</f>
        <v>0</v>
      </c>
      <c r="D804">
        <f t="shared" si="26"/>
        <v>0</v>
      </c>
      <c r="E804" t="str">
        <f t="shared" si="27"/>
        <v>X</v>
      </c>
    </row>
    <row r="805" spans="1:5" x14ac:dyDescent="0.3">
      <c r="A805">
        <f>vendors!B807</f>
        <v>0</v>
      </c>
      <c r="B805" s="5">
        <f>vendors!C807</f>
        <v>0</v>
      </c>
      <c r="D805">
        <f t="shared" si="26"/>
        <v>0</v>
      </c>
      <c r="E805" t="str">
        <f t="shared" si="27"/>
        <v>X</v>
      </c>
    </row>
    <row r="806" spans="1:5" x14ac:dyDescent="0.3">
      <c r="A806">
        <f>vendors!B808</f>
        <v>0</v>
      </c>
      <c r="B806" s="5">
        <f>vendors!C808</f>
        <v>0</v>
      </c>
      <c r="D806">
        <f t="shared" si="26"/>
        <v>0</v>
      </c>
      <c r="E806" t="str">
        <f t="shared" si="27"/>
        <v>X</v>
      </c>
    </row>
    <row r="807" spans="1:5" x14ac:dyDescent="0.3">
      <c r="A807">
        <f>vendors!B809</f>
        <v>0</v>
      </c>
      <c r="B807" s="5">
        <f>vendors!C809</f>
        <v>0</v>
      </c>
      <c r="D807">
        <f t="shared" si="26"/>
        <v>0</v>
      </c>
      <c r="E807" t="str">
        <f t="shared" si="27"/>
        <v>X</v>
      </c>
    </row>
    <row r="808" spans="1:5" x14ac:dyDescent="0.3">
      <c r="A808">
        <f>vendors!B810</f>
        <v>0</v>
      </c>
      <c r="B808" s="5">
        <f>vendors!C810</f>
        <v>0</v>
      </c>
      <c r="D808">
        <f t="shared" si="26"/>
        <v>0</v>
      </c>
      <c r="E808" t="str">
        <f t="shared" si="27"/>
        <v>X</v>
      </c>
    </row>
    <row r="809" spans="1:5" x14ac:dyDescent="0.3">
      <c r="A809">
        <f>vendors!B811</f>
        <v>0</v>
      </c>
      <c r="B809" s="5">
        <f>vendors!C811</f>
        <v>0</v>
      </c>
      <c r="D809">
        <f t="shared" si="26"/>
        <v>0</v>
      </c>
      <c r="E809" t="str">
        <f t="shared" si="27"/>
        <v>X</v>
      </c>
    </row>
    <row r="810" spans="1:5" x14ac:dyDescent="0.3">
      <c r="A810">
        <f>vendors!B812</f>
        <v>0</v>
      </c>
      <c r="B810" s="5">
        <f>vendors!C812</f>
        <v>0</v>
      </c>
      <c r="D810">
        <f t="shared" si="26"/>
        <v>0</v>
      </c>
      <c r="E810" t="str">
        <f t="shared" si="27"/>
        <v>X</v>
      </c>
    </row>
    <row r="811" spans="1:5" x14ac:dyDescent="0.3">
      <c r="A811">
        <f>vendors!B813</f>
        <v>0</v>
      </c>
      <c r="B811" s="5">
        <f>vendors!C813</f>
        <v>0</v>
      </c>
      <c r="D811">
        <f t="shared" si="26"/>
        <v>0</v>
      </c>
      <c r="E811" t="str">
        <f t="shared" si="27"/>
        <v>X</v>
      </c>
    </row>
    <row r="812" spans="1:5" x14ac:dyDescent="0.3">
      <c r="A812">
        <f>vendors!B814</f>
        <v>0</v>
      </c>
      <c r="B812" s="5">
        <f>vendors!C814</f>
        <v>0</v>
      </c>
      <c r="D812">
        <f t="shared" si="26"/>
        <v>0</v>
      </c>
      <c r="E812" t="str">
        <f t="shared" si="27"/>
        <v>X</v>
      </c>
    </row>
    <row r="813" spans="1:5" x14ac:dyDescent="0.3">
      <c r="A813">
        <f>vendors!B815</f>
        <v>0</v>
      </c>
      <c r="B813" s="5">
        <f>vendors!C815</f>
        <v>0</v>
      </c>
      <c r="D813">
        <f t="shared" si="26"/>
        <v>0</v>
      </c>
      <c r="E813" t="str">
        <f t="shared" si="27"/>
        <v>X</v>
      </c>
    </row>
    <row r="814" spans="1:5" x14ac:dyDescent="0.3">
      <c r="A814">
        <f>vendors!B816</f>
        <v>0</v>
      </c>
      <c r="B814" s="5">
        <f>vendors!C816</f>
        <v>0</v>
      </c>
      <c r="D814">
        <f t="shared" si="26"/>
        <v>0</v>
      </c>
      <c r="E814" t="str">
        <f t="shared" si="27"/>
        <v>X</v>
      </c>
    </row>
    <row r="815" spans="1:5" x14ac:dyDescent="0.3">
      <c r="A815">
        <f>vendors!B817</f>
        <v>0</v>
      </c>
      <c r="B815" s="5">
        <f>vendors!C817</f>
        <v>0</v>
      </c>
      <c r="D815">
        <f t="shared" si="26"/>
        <v>0</v>
      </c>
      <c r="E815" t="str">
        <f t="shared" si="27"/>
        <v>X</v>
      </c>
    </row>
    <row r="816" spans="1:5" x14ac:dyDescent="0.3">
      <c r="A816">
        <f>vendors!B818</f>
        <v>0</v>
      </c>
      <c r="B816" s="5">
        <f>vendors!C818</f>
        <v>0</v>
      </c>
      <c r="D816">
        <f t="shared" si="26"/>
        <v>0</v>
      </c>
      <c r="E816" t="str">
        <f t="shared" si="27"/>
        <v>X</v>
      </c>
    </row>
    <row r="817" spans="1:5" x14ac:dyDescent="0.3">
      <c r="A817">
        <f>vendors!B819</f>
        <v>0</v>
      </c>
      <c r="B817" s="5">
        <f>vendors!C819</f>
        <v>0</v>
      </c>
      <c r="D817">
        <f t="shared" si="26"/>
        <v>0</v>
      </c>
      <c r="E817" t="str">
        <f t="shared" si="27"/>
        <v>X</v>
      </c>
    </row>
    <row r="818" spans="1:5" x14ac:dyDescent="0.3">
      <c r="A818">
        <f>vendors!B820</f>
        <v>0</v>
      </c>
      <c r="B818" s="5">
        <f>vendors!C820</f>
        <v>0</v>
      </c>
      <c r="D818">
        <f t="shared" si="26"/>
        <v>0</v>
      </c>
      <c r="E818" t="str">
        <f t="shared" si="27"/>
        <v>X</v>
      </c>
    </row>
    <row r="819" spans="1:5" x14ac:dyDescent="0.3">
      <c r="A819">
        <f>vendors!B821</f>
        <v>0</v>
      </c>
      <c r="B819" s="5">
        <f>vendors!C821</f>
        <v>0</v>
      </c>
      <c r="D819">
        <f t="shared" si="26"/>
        <v>0</v>
      </c>
      <c r="E819" t="str">
        <f t="shared" si="27"/>
        <v>X</v>
      </c>
    </row>
    <row r="820" spans="1:5" x14ac:dyDescent="0.3">
      <c r="A820">
        <f>vendors!B822</f>
        <v>0</v>
      </c>
      <c r="B820" s="5">
        <f>vendors!C822</f>
        <v>0</v>
      </c>
      <c r="D820">
        <f t="shared" si="26"/>
        <v>0</v>
      </c>
      <c r="E820" t="str">
        <f t="shared" si="27"/>
        <v>X</v>
      </c>
    </row>
    <row r="821" spans="1:5" x14ac:dyDescent="0.3">
      <c r="A821">
        <f>vendors!B823</f>
        <v>0</v>
      </c>
      <c r="B821" s="5">
        <f>vendors!C823</f>
        <v>0</v>
      </c>
      <c r="D821">
        <f t="shared" si="26"/>
        <v>0</v>
      </c>
      <c r="E821" t="str">
        <f t="shared" si="27"/>
        <v>X</v>
      </c>
    </row>
    <row r="822" spans="1:5" x14ac:dyDescent="0.3">
      <c r="A822">
        <f>vendors!B824</f>
        <v>0</v>
      </c>
      <c r="B822" s="5">
        <f>vendors!C824</f>
        <v>0</v>
      </c>
      <c r="D822">
        <f t="shared" si="26"/>
        <v>0</v>
      </c>
      <c r="E822" t="str">
        <f t="shared" si="27"/>
        <v>X</v>
      </c>
    </row>
    <row r="823" spans="1:5" x14ac:dyDescent="0.3">
      <c r="A823">
        <f>vendors!B825</f>
        <v>0</v>
      </c>
      <c r="B823" s="5">
        <f>vendors!C825</f>
        <v>0</v>
      </c>
      <c r="D823">
        <f t="shared" si="26"/>
        <v>0</v>
      </c>
      <c r="E823" t="str">
        <f t="shared" si="27"/>
        <v>X</v>
      </c>
    </row>
    <row r="824" spans="1:5" x14ac:dyDescent="0.3">
      <c r="A824">
        <f>vendors!B826</f>
        <v>0</v>
      </c>
      <c r="B824" s="5">
        <f>vendors!C826</f>
        <v>0</v>
      </c>
      <c r="D824">
        <f t="shared" si="26"/>
        <v>0</v>
      </c>
      <c r="E824" t="str">
        <f t="shared" si="27"/>
        <v>X</v>
      </c>
    </row>
    <row r="825" spans="1:5" x14ac:dyDescent="0.3">
      <c r="A825">
        <f>vendors!B827</f>
        <v>0</v>
      </c>
      <c r="B825" s="5">
        <f>vendors!C827</f>
        <v>0</v>
      </c>
      <c r="D825">
        <f t="shared" si="26"/>
        <v>0</v>
      </c>
      <c r="E825" t="str">
        <f t="shared" si="27"/>
        <v>X</v>
      </c>
    </row>
    <row r="826" spans="1:5" x14ac:dyDescent="0.3">
      <c r="A826">
        <f>vendors!B828</f>
        <v>0</v>
      </c>
      <c r="B826" s="5">
        <f>vendors!C828</f>
        <v>0</v>
      </c>
      <c r="D826">
        <f t="shared" si="26"/>
        <v>0</v>
      </c>
      <c r="E826" t="str">
        <f t="shared" si="27"/>
        <v>X</v>
      </c>
    </row>
    <row r="827" spans="1:5" x14ac:dyDescent="0.3">
      <c r="A827">
        <f>vendors!B829</f>
        <v>0</v>
      </c>
      <c r="B827" s="5">
        <f>vendors!C829</f>
        <v>0</v>
      </c>
      <c r="D827">
        <f t="shared" si="26"/>
        <v>0</v>
      </c>
      <c r="E827" t="str">
        <f t="shared" si="27"/>
        <v>X</v>
      </c>
    </row>
    <row r="828" spans="1:5" x14ac:dyDescent="0.3">
      <c r="A828">
        <f>vendors!B830</f>
        <v>0</v>
      </c>
      <c r="B828" s="5">
        <f>vendors!C830</f>
        <v>0</v>
      </c>
      <c r="D828">
        <f t="shared" si="26"/>
        <v>0</v>
      </c>
      <c r="E828" t="str">
        <f t="shared" si="27"/>
        <v>X</v>
      </c>
    </row>
    <row r="829" spans="1:5" x14ac:dyDescent="0.3">
      <c r="A829">
        <f>vendors!B831</f>
        <v>0</v>
      </c>
      <c r="B829" s="5">
        <f>vendors!C831</f>
        <v>0</v>
      </c>
      <c r="D829">
        <f t="shared" si="26"/>
        <v>0</v>
      </c>
      <c r="E829" t="str">
        <f t="shared" si="27"/>
        <v>X</v>
      </c>
    </row>
    <row r="830" spans="1:5" x14ac:dyDescent="0.3">
      <c r="A830">
        <f>vendors!B832</f>
        <v>0</v>
      </c>
      <c r="B830" s="5">
        <f>vendors!C832</f>
        <v>0</v>
      </c>
      <c r="D830">
        <f t="shared" si="26"/>
        <v>0</v>
      </c>
      <c r="E830" t="str">
        <f t="shared" si="27"/>
        <v>X</v>
      </c>
    </row>
    <row r="831" spans="1:5" x14ac:dyDescent="0.3">
      <c r="A831">
        <f>vendors!B833</f>
        <v>0</v>
      </c>
      <c r="B831" s="5">
        <f>vendors!C833</f>
        <v>0</v>
      </c>
      <c r="D831">
        <f t="shared" si="26"/>
        <v>0</v>
      </c>
      <c r="E831" t="str">
        <f t="shared" si="27"/>
        <v>X</v>
      </c>
    </row>
    <row r="832" spans="1:5" x14ac:dyDescent="0.3">
      <c r="A832">
        <f>vendors!B834</f>
        <v>0</v>
      </c>
      <c r="B832" s="5">
        <f>vendors!C834</f>
        <v>0</v>
      </c>
      <c r="D832">
        <f t="shared" si="26"/>
        <v>0</v>
      </c>
      <c r="E832" t="str">
        <f t="shared" si="27"/>
        <v>X</v>
      </c>
    </row>
    <row r="833" spans="1:5" x14ac:dyDescent="0.3">
      <c r="A833">
        <f>vendors!B835</f>
        <v>0</v>
      </c>
      <c r="B833" s="5">
        <f>vendors!C835</f>
        <v>0</v>
      </c>
      <c r="D833">
        <f t="shared" si="26"/>
        <v>0</v>
      </c>
      <c r="E833" t="str">
        <f t="shared" si="27"/>
        <v>X</v>
      </c>
    </row>
    <row r="834" spans="1:5" x14ac:dyDescent="0.3">
      <c r="A834">
        <f>vendors!B836</f>
        <v>0</v>
      </c>
      <c r="B834" s="5">
        <f>vendors!C836</f>
        <v>0</v>
      </c>
      <c r="D834">
        <f t="shared" si="26"/>
        <v>0</v>
      </c>
      <c r="E834" t="str">
        <f t="shared" si="27"/>
        <v>X</v>
      </c>
    </row>
    <row r="835" spans="1:5" x14ac:dyDescent="0.3">
      <c r="A835">
        <f>vendors!B837</f>
        <v>0</v>
      </c>
      <c r="B835" s="5">
        <f>vendors!C837</f>
        <v>0</v>
      </c>
      <c r="D835">
        <f t="shared" ref="D835:D898" si="28">C835*B835</f>
        <v>0</v>
      </c>
      <c r="E835" t="str">
        <f t="shared" ref="E835:E898" si="29">IF(C835&lt;500, "X", "")</f>
        <v>X</v>
      </c>
    </row>
    <row r="836" spans="1:5" x14ac:dyDescent="0.3">
      <c r="A836">
        <f>vendors!B838</f>
        <v>0</v>
      </c>
      <c r="B836" s="5">
        <f>vendors!C838</f>
        <v>0</v>
      </c>
      <c r="D836">
        <f t="shared" si="28"/>
        <v>0</v>
      </c>
      <c r="E836" t="str">
        <f t="shared" si="29"/>
        <v>X</v>
      </c>
    </row>
    <row r="837" spans="1:5" x14ac:dyDescent="0.3">
      <c r="A837">
        <f>vendors!B839</f>
        <v>0</v>
      </c>
      <c r="B837" s="5">
        <f>vendors!C839</f>
        <v>0</v>
      </c>
      <c r="D837">
        <f t="shared" si="28"/>
        <v>0</v>
      </c>
      <c r="E837" t="str">
        <f t="shared" si="29"/>
        <v>X</v>
      </c>
    </row>
    <row r="838" spans="1:5" x14ac:dyDescent="0.3">
      <c r="A838">
        <f>vendors!B840</f>
        <v>0</v>
      </c>
      <c r="B838" s="5">
        <f>vendors!C840</f>
        <v>0</v>
      </c>
      <c r="D838">
        <f t="shared" si="28"/>
        <v>0</v>
      </c>
      <c r="E838" t="str">
        <f t="shared" si="29"/>
        <v>X</v>
      </c>
    </row>
    <row r="839" spans="1:5" x14ac:dyDescent="0.3">
      <c r="A839">
        <f>vendors!B841</f>
        <v>0</v>
      </c>
      <c r="B839" s="5">
        <f>vendors!C841</f>
        <v>0</v>
      </c>
      <c r="D839">
        <f t="shared" si="28"/>
        <v>0</v>
      </c>
      <c r="E839" t="str">
        <f t="shared" si="29"/>
        <v>X</v>
      </c>
    </row>
    <row r="840" spans="1:5" x14ac:dyDescent="0.3">
      <c r="A840">
        <f>vendors!B842</f>
        <v>0</v>
      </c>
      <c r="B840" s="5">
        <f>vendors!C842</f>
        <v>0</v>
      </c>
      <c r="D840">
        <f t="shared" si="28"/>
        <v>0</v>
      </c>
      <c r="E840" t="str">
        <f t="shared" si="29"/>
        <v>X</v>
      </c>
    </row>
    <row r="841" spans="1:5" x14ac:dyDescent="0.3">
      <c r="A841">
        <f>vendors!B843</f>
        <v>0</v>
      </c>
      <c r="B841" s="5">
        <f>vendors!C843</f>
        <v>0</v>
      </c>
      <c r="D841">
        <f t="shared" si="28"/>
        <v>0</v>
      </c>
      <c r="E841" t="str">
        <f t="shared" si="29"/>
        <v>X</v>
      </c>
    </row>
    <row r="842" spans="1:5" x14ac:dyDescent="0.3">
      <c r="A842">
        <f>vendors!B844</f>
        <v>0</v>
      </c>
      <c r="B842" s="5">
        <f>vendors!C844</f>
        <v>0</v>
      </c>
      <c r="D842">
        <f t="shared" si="28"/>
        <v>0</v>
      </c>
      <c r="E842" t="str">
        <f t="shared" si="29"/>
        <v>X</v>
      </c>
    </row>
    <row r="843" spans="1:5" x14ac:dyDescent="0.3">
      <c r="A843">
        <f>vendors!B845</f>
        <v>0</v>
      </c>
      <c r="B843" s="5">
        <f>vendors!C845</f>
        <v>0</v>
      </c>
      <c r="D843">
        <f t="shared" si="28"/>
        <v>0</v>
      </c>
      <c r="E843" t="str">
        <f t="shared" si="29"/>
        <v>X</v>
      </c>
    </row>
    <row r="844" spans="1:5" x14ac:dyDescent="0.3">
      <c r="A844">
        <f>vendors!B846</f>
        <v>0</v>
      </c>
      <c r="B844" s="5">
        <f>vendors!C846</f>
        <v>0</v>
      </c>
      <c r="D844">
        <f t="shared" si="28"/>
        <v>0</v>
      </c>
      <c r="E844" t="str">
        <f t="shared" si="29"/>
        <v>X</v>
      </c>
    </row>
    <row r="845" spans="1:5" x14ac:dyDescent="0.3">
      <c r="A845">
        <f>vendors!B847</f>
        <v>0</v>
      </c>
      <c r="B845" s="5">
        <f>vendors!C847</f>
        <v>0</v>
      </c>
      <c r="D845">
        <f t="shared" si="28"/>
        <v>0</v>
      </c>
      <c r="E845" t="str">
        <f t="shared" si="29"/>
        <v>X</v>
      </c>
    </row>
    <row r="846" spans="1:5" x14ac:dyDescent="0.3">
      <c r="A846">
        <f>vendors!B848</f>
        <v>0</v>
      </c>
      <c r="B846" s="5">
        <f>vendors!C848</f>
        <v>0</v>
      </c>
      <c r="D846">
        <f t="shared" si="28"/>
        <v>0</v>
      </c>
      <c r="E846" t="str">
        <f t="shared" si="29"/>
        <v>X</v>
      </c>
    </row>
    <row r="847" spans="1:5" x14ac:dyDescent="0.3">
      <c r="A847">
        <f>vendors!B849</f>
        <v>0</v>
      </c>
      <c r="B847" s="5">
        <f>vendors!C849</f>
        <v>0</v>
      </c>
      <c r="D847">
        <f t="shared" si="28"/>
        <v>0</v>
      </c>
      <c r="E847" t="str">
        <f t="shared" si="29"/>
        <v>X</v>
      </c>
    </row>
    <row r="848" spans="1:5" x14ac:dyDescent="0.3">
      <c r="A848">
        <f>vendors!B850</f>
        <v>0</v>
      </c>
      <c r="B848" s="5">
        <f>vendors!C850</f>
        <v>0</v>
      </c>
      <c r="D848">
        <f t="shared" si="28"/>
        <v>0</v>
      </c>
      <c r="E848" t="str">
        <f t="shared" si="29"/>
        <v>X</v>
      </c>
    </row>
    <row r="849" spans="1:5" x14ac:dyDescent="0.3">
      <c r="A849">
        <f>vendors!B851</f>
        <v>0</v>
      </c>
      <c r="B849" s="5">
        <f>vendors!C851</f>
        <v>0</v>
      </c>
      <c r="D849">
        <f t="shared" si="28"/>
        <v>0</v>
      </c>
      <c r="E849" t="str">
        <f t="shared" si="29"/>
        <v>X</v>
      </c>
    </row>
    <row r="850" spans="1:5" x14ac:dyDescent="0.3">
      <c r="A850">
        <f>vendors!B852</f>
        <v>0</v>
      </c>
      <c r="B850" s="5">
        <f>vendors!C852</f>
        <v>0</v>
      </c>
      <c r="D850">
        <f t="shared" si="28"/>
        <v>0</v>
      </c>
      <c r="E850" t="str">
        <f t="shared" si="29"/>
        <v>X</v>
      </c>
    </row>
    <row r="851" spans="1:5" x14ac:dyDescent="0.3">
      <c r="A851">
        <f>vendors!B853</f>
        <v>0</v>
      </c>
      <c r="B851" s="5">
        <f>vendors!C853</f>
        <v>0</v>
      </c>
      <c r="D851">
        <f t="shared" si="28"/>
        <v>0</v>
      </c>
      <c r="E851" t="str">
        <f t="shared" si="29"/>
        <v>X</v>
      </c>
    </row>
    <row r="852" spans="1:5" x14ac:dyDescent="0.3">
      <c r="A852">
        <f>vendors!B854</f>
        <v>0</v>
      </c>
      <c r="B852" s="5">
        <f>vendors!C854</f>
        <v>0</v>
      </c>
      <c r="D852">
        <f t="shared" si="28"/>
        <v>0</v>
      </c>
      <c r="E852" t="str">
        <f t="shared" si="29"/>
        <v>X</v>
      </c>
    </row>
    <row r="853" spans="1:5" x14ac:dyDescent="0.3">
      <c r="A853">
        <f>vendors!B855</f>
        <v>0</v>
      </c>
      <c r="B853" s="5">
        <f>vendors!C855</f>
        <v>0</v>
      </c>
      <c r="D853">
        <f t="shared" si="28"/>
        <v>0</v>
      </c>
      <c r="E853" t="str">
        <f t="shared" si="29"/>
        <v>X</v>
      </c>
    </row>
    <row r="854" spans="1:5" x14ac:dyDescent="0.3">
      <c r="A854">
        <f>vendors!B856</f>
        <v>0</v>
      </c>
      <c r="B854" s="5">
        <f>vendors!C856</f>
        <v>0</v>
      </c>
      <c r="D854">
        <f t="shared" si="28"/>
        <v>0</v>
      </c>
      <c r="E854" t="str">
        <f t="shared" si="29"/>
        <v>X</v>
      </c>
    </row>
    <row r="855" spans="1:5" x14ac:dyDescent="0.3">
      <c r="A855">
        <f>vendors!B857</f>
        <v>0</v>
      </c>
      <c r="B855" s="5">
        <f>vendors!C857</f>
        <v>0</v>
      </c>
      <c r="D855">
        <f t="shared" si="28"/>
        <v>0</v>
      </c>
      <c r="E855" t="str">
        <f t="shared" si="29"/>
        <v>X</v>
      </c>
    </row>
    <row r="856" spans="1:5" x14ac:dyDescent="0.3">
      <c r="A856">
        <f>vendors!B858</f>
        <v>0</v>
      </c>
      <c r="B856" s="5">
        <f>vendors!C858</f>
        <v>0</v>
      </c>
      <c r="D856">
        <f t="shared" si="28"/>
        <v>0</v>
      </c>
      <c r="E856" t="str">
        <f t="shared" si="29"/>
        <v>X</v>
      </c>
    </row>
    <row r="857" spans="1:5" x14ac:dyDescent="0.3">
      <c r="A857">
        <f>vendors!B859</f>
        <v>0</v>
      </c>
      <c r="B857" s="5">
        <f>vendors!C859</f>
        <v>0</v>
      </c>
      <c r="D857">
        <f t="shared" si="28"/>
        <v>0</v>
      </c>
      <c r="E857" t="str">
        <f t="shared" si="29"/>
        <v>X</v>
      </c>
    </row>
    <row r="858" spans="1:5" x14ac:dyDescent="0.3">
      <c r="A858">
        <f>vendors!B860</f>
        <v>0</v>
      </c>
      <c r="B858" s="5">
        <f>vendors!C860</f>
        <v>0</v>
      </c>
      <c r="D858">
        <f t="shared" si="28"/>
        <v>0</v>
      </c>
      <c r="E858" t="str">
        <f t="shared" si="29"/>
        <v>X</v>
      </c>
    </row>
    <row r="859" spans="1:5" x14ac:dyDescent="0.3">
      <c r="A859">
        <f>vendors!B861</f>
        <v>0</v>
      </c>
      <c r="B859" s="5">
        <f>vendors!C861</f>
        <v>0</v>
      </c>
      <c r="D859">
        <f t="shared" si="28"/>
        <v>0</v>
      </c>
      <c r="E859" t="str">
        <f t="shared" si="29"/>
        <v>X</v>
      </c>
    </row>
    <row r="860" spans="1:5" x14ac:dyDescent="0.3">
      <c r="A860">
        <f>vendors!B862</f>
        <v>0</v>
      </c>
      <c r="B860" s="5">
        <f>vendors!C862</f>
        <v>0</v>
      </c>
      <c r="D860">
        <f t="shared" si="28"/>
        <v>0</v>
      </c>
      <c r="E860" t="str">
        <f t="shared" si="29"/>
        <v>X</v>
      </c>
    </row>
    <row r="861" spans="1:5" x14ac:dyDescent="0.3">
      <c r="A861">
        <f>vendors!B863</f>
        <v>0</v>
      </c>
      <c r="B861" s="5">
        <f>vendors!C863</f>
        <v>0</v>
      </c>
      <c r="D861">
        <f t="shared" si="28"/>
        <v>0</v>
      </c>
      <c r="E861" t="str">
        <f t="shared" si="29"/>
        <v>X</v>
      </c>
    </row>
    <row r="862" spans="1:5" x14ac:dyDescent="0.3">
      <c r="A862">
        <f>vendors!B864</f>
        <v>0</v>
      </c>
      <c r="B862" s="5">
        <f>vendors!C864</f>
        <v>0</v>
      </c>
      <c r="D862">
        <f t="shared" si="28"/>
        <v>0</v>
      </c>
      <c r="E862" t="str">
        <f t="shared" si="29"/>
        <v>X</v>
      </c>
    </row>
    <row r="863" spans="1:5" x14ac:dyDescent="0.3">
      <c r="A863">
        <f>vendors!B865</f>
        <v>0</v>
      </c>
      <c r="B863" s="5">
        <f>vendors!C865</f>
        <v>0</v>
      </c>
      <c r="D863">
        <f t="shared" si="28"/>
        <v>0</v>
      </c>
      <c r="E863" t="str">
        <f t="shared" si="29"/>
        <v>X</v>
      </c>
    </row>
    <row r="864" spans="1:5" x14ac:dyDescent="0.3">
      <c r="A864">
        <f>vendors!B866</f>
        <v>0</v>
      </c>
      <c r="B864" s="5">
        <f>vendors!C866</f>
        <v>0</v>
      </c>
      <c r="D864">
        <f t="shared" si="28"/>
        <v>0</v>
      </c>
      <c r="E864" t="str">
        <f t="shared" si="29"/>
        <v>X</v>
      </c>
    </row>
    <row r="865" spans="1:5" x14ac:dyDescent="0.3">
      <c r="A865">
        <f>vendors!B867</f>
        <v>0</v>
      </c>
      <c r="B865" s="5">
        <f>vendors!C867</f>
        <v>0</v>
      </c>
      <c r="D865">
        <f t="shared" si="28"/>
        <v>0</v>
      </c>
      <c r="E865" t="str">
        <f t="shared" si="29"/>
        <v>X</v>
      </c>
    </row>
    <row r="866" spans="1:5" x14ac:dyDescent="0.3">
      <c r="A866">
        <f>vendors!B868</f>
        <v>0</v>
      </c>
      <c r="B866" s="5">
        <f>vendors!C868</f>
        <v>0</v>
      </c>
      <c r="D866">
        <f t="shared" si="28"/>
        <v>0</v>
      </c>
      <c r="E866" t="str">
        <f t="shared" si="29"/>
        <v>X</v>
      </c>
    </row>
    <row r="867" spans="1:5" x14ac:dyDescent="0.3">
      <c r="A867">
        <f>vendors!B869</f>
        <v>0</v>
      </c>
      <c r="B867" s="5">
        <f>vendors!C869</f>
        <v>0</v>
      </c>
      <c r="D867">
        <f t="shared" si="28"/>
        <v>0</v>
      </c>
      <c r="E867" t="str">
        <f t="shared" si="29"/>
        <v>X</v>
      </c>
    </row>
    <row r="868" spans="1:5" x14ac:dyDescent="0.3">
      <c r="A868">
        <f>vendors!B870</f>
        <v>0</v>
      </c>
      <c r="B868" s="5">
        <f>vendors!C870</f>
        <v>0</v>
      </c>
      <c r="D868">
        <f t="shared" si="28"/>
        <v>0</v>
      </c>
      <c r="E868" t="str">
        <f t="shared" si="29"/>
        <v>X</v>
      </c>
    </row>
    <row r="869" spans="1:5" x14ac:dyDescent="0.3">
      <c r="A869">
        <f>vendors!B871</f>
        <v>0</v>
      </c>
      <c r="B869" s="5">
        <f>vendors!C871</f>
        <v>0</v>
      </c>
      <c r="D869">
        <f t="shared" si="28"/>
        <v>0</v>
      </c>
      <c r="E869" t="str">
        <f t="shared" si="29"/>
        <v>X</v>
      </c>
    </row>
    <row r="870" spans="1:5" x14ac:dyDescent="0.3">
      <c r="A870">
        <f>vendors!B872</f>
        <v>0</v>
      </c>
      <c r="B870" s="5">
        <f>vendors!C872</f>
        <v>0</v>
      </c>
      <c r="D870">
        <f t="shared" si="28"/>
        <v>0</v>
      </c>
      <c r="E870" t="str">
        <f t="shared" si="29"/>
        <v>X</v>
      </c>
    </row>
    <row r="871" spans="1:5" x14ac:dyDescent="0.3">
      <c r="A871">
        <f>vendors!B873</f>
        <v>0</v>
      </c>
      <c r="B871" s="5">
        <f>vendors!C873</f>
        <v>0</v>
      </c>
      <c r="D871">
        <f t="shared" si="28"/>
        <v>0</v>
      </c>
      <c r="E871" t="str">
        <f t="shared" si="29"/>
        <v>X</v>
      </c>
    </row>
    <row r="872" spans="1:5" x14ac:dyDescent="0.3">
      <c r="A872">
        <f>vendors!B874</f>
        <v>0</v>
      </c>
      <c r="B872" s="5">
        <f>vendors!C874</f>
        <v>0</v>
      </c>
      <c r="D872">
        <f t="shared" si="28"/>
        <v>0</v>
      </c>
      <c r="E872" t="str">
        <f t="shared" si="29"/>
        <v>X</v>
      </c>
    </row>
    <row r="873" spans="1:5" x14ac:dyDescent="0.3">
      <c r="A873">
        <f>vendors!B875</f>
        <v>0</v>
      </c>
      <c r="B873" s="5">
        <f>vendors!C875</f>
        <v>0</v>
      </c>
      <c r="D873">
        <f t="shared" si="28"/>
        <v>0</v>
      </c>
      <c r="E873" t="str">
        <f t="shared" si="29"/>
        <v>X</v>
      </c>
    </row>
    <row r="874" spans="1:5" x14ac:dyDescent="0.3">
      <c r="A874">
        <f>vendors!B876</f>
        <v>0</v>
      </c>
      <c r="B874" s="5">
        <f>vendors!C876</f>
        <v>0</v>
      </c>
      <c r="D874">
        <f t="shared" si="28"/>
        <v>0</v>
      </c>
      <c r="E874" t="str">
        <f t="shared" si="29"/>
        <v>X</v>
      </c>
    </row>
    <row r="875" spans="1:5" x14ac:dyDescent="0.3">
      <c r="A875">
        <f>vendors!B877</f>
        <v>0</v>
      </c>
      <c r="B875" s="5">
        <f>vendors!C877</f>
        <v>0</v>
      </c>
      <c r="D875">
        <f t="shared" si="28"/>
        <v>0</v>
      </c>
      <c r="E875" t="str">
        <f t="shared" si="29"/>
        <v>X</v>
      </c>
    </row>
    <row r="876" spans="1:5" x14ac:dyDescent="0.3">
      <c r="A876">
        <f>vendors!B878</f>
        <v>0</v>
      </c>
      <c r="B876" s="5">
        <f>vendors!C878</f>
        <v>0</v>
      </c>
      <c r="D876">
        <f t="shared" si="28"/>
        <v>0</v>
      </c>
      <c r="E876" t="str">
        <f t="shared" si="29"/>
        <v>X</v>
      </c>
    </row>
    <row r="877" spans="1:5" x14ac:dyDescent="0.3">
      <c r="A877">
        <f>vendors!B879</f>
        <v>0</v>
      </c>
      <c r="B877" s="5">
        <f>vendors!C879</f>
        <v>0</v>
      </c>
      <c r="D877">
        <f t="shared" si="28"/>
        <v>0</v>
      </c>
      <c r="E877" t="str">
        <f t="shared" si="29"/>
        <v>X</v>
      </c>
    </row>
    <row r="878" spans="1:5" x14ac:dyDescent="0.3">
      <c r="A878">
        <f>vendors!B880</f>
        <v>0</v>
      </c>
      <c r="B878" s="5">
        <f>vendors!C880</f>
        <v>0</v>
      </c>
      <c r="D878">
        <f t="shared" si="28"/>
        <v>0</v>
      </c>
      <c r="E878" t="str">
        <f t="shared" si="29"/>
        <v>X</v>
      </c>
    </row>
    <row r="879" spans="1:5" x14ac:dyDescent="0.3">
      <c r="A879">
        <f>vendors!B881</f>
        <v>0</v>
      </c>
      <c r="B879" s="5">
        <f>vendors!C881</f>
        <v>0</v>
      </c>
      <c r="D879">
        <f t="shared" si="28"/>
        <v>0</v>
      </c>
      <c r="E879" t="str">
        <f t="shared" si="29"/>
        <v>X</v>
      </c>
    </row>
    <row r="880" spans="1:5" x14ac:dyDescent="0.3">
      <c r="A880">
        <f>vendors!B882</f>
        <v>0</v>
      </c>
      <c r="B880" s="5">
        <f>vendors!C882</f>
        <v>0</v>
      </c>
      <c r="D880">
        <f t="shared" si="28"/>
        <v>0</v>
      </c>
      <c r="E880" t="str">
        <f t="shared" si="29"/>
        <v>X</v>
      </c>
    </row>
    <row r="881" spans="1:5" x14ac:dyDescent="0.3">
      <c r="A881">
        <f>vendors!B883</f>
        <v>0</v>
      </c>
      <c r="B881" s="5">
        <f>vendors!C883</f>
        <v>0</v>
      </c>
      <c r="D881">
        <f t="shared" si="28"/>
        <v>0</v>
      </c>
      <c r="E881" t="str">
        <f t="shared" si="29"/>
        <v>X</v>
      </c>
    </row>
    <row r="882" spans="1:5" x14ac:dyDescent="0.3">
      <c r="A882">
        <f>vendors!B884</f>
        <v>0</v>
      </c>
      <c r="B882" s="5">
        <f>vendors!C884</f>
        <v>0</v>
      </c>
      <c r="D882">
        <f t="shared" si="28"/>
        <v>0</v>
      </c>
      <c r="E882" t="str">
        <f t="shared" si="29"/>
        <v>X</v>
      </c>
    </row>
    <row r="883" spans="1:5" x14ac:dyDescent="0.3">
      <c r="A883">
        <f>vendors!B885</f>
        <v>0</v>
      </c>
      <c r="B883" s="5">
        <f>vendors!C885</f>
        <v>0</v>
      </c>
      <c r="D883">
        <f t="shared" si="28"/>
        <v>0</v>
      </c>
      <c r="E883" t="str">
        <f t="shared" si="29"/>
        <v>X</v>
      </c>
    </row>
    <row r="884" spans="1:5" x14ac:dyDescent="0.3">
      <c r="A884">
        <f>vendors!B886</f>
        <v>0</v>
      </c>
      <c r="B884" s="5">
        <f>vendors!C886</f>
        <v>0</v>
      </c>
      <c r="D884">
        <f t="shared" si="28"/>
        <v>0</v>
      </c>
      <c r="E884" t="str">
        <f t="shared" si="29"/>
        <v>X</v>
      </c>
    </row>
    <row r="885" spans="1:5" x14ac:dyDescent="0.3">
      <c r="A885">
        <f>vendors!B887</f>
        <v>0</v>
      </c>
      <c r="B885" s="5">
        <f>vendors!C887</f>
        <v>0</v>
      </c>
      <c r="D885">
        <f t="shared" si="28"/>
        <v>0</v>
      </c>
      <c r="E885" t="str">
        <f t="shared" si="29"/>
        <v>X</v>
      </c>
    </row>
    <row r="886" spans="1:5" x14ac:dyDescent="0.3">
      <c r="A886">
        <f>vendors!B888</f>
        <v>0</v>
      </c>
      <c r="B886" s="5">
        <f>vendors!C888</f>
        <v>0</v>
      </c>
      <c r="D886">
        <f t="shared" si="28"/>
        <v>0</v>
      </c>
      <c r="E886" t="str">
        <f t="shared" si="29"/>
        <v>X</v>
      </c>
    </row>
    <row r="887" spans="1:5" x14ac:dyDescent="0.3">
      <c r="A887">
        <f>vendors!B889</f>
        <v>0</v>
      </c>
      <c r="B887" s="5">
        <f>vendors!C889</f>
        <v>0</v>
      </c>
      <c r="D887">
        <f t="shared" si="28"/>
        <v>0</v>
      </c>
      <c r="E887" t="str">
        <f t="shared" si="29"/>
        <v>X</v>
      </c>
    </row>
    <row r="888" spans="1:5" x14ac:dyDescent="0.3">
      <c r="A888">
        <f>vendors!B890</f>
        <v>0</v>
      </c>
      <c r="B888" s="5">
        <f>vendors!C890</f>
        <v>0</v>
      </c>
      <c r="D888">
        <f t="shared" si="28"/>
        <v>0</v>
      </c>
      <c r="E888" t="str">
        <f t="shared" si="29"/>
        <v>X</v>
      </c>
    </row>
    <row r="889" spans="1:5" x14ac:dyDescent="0.3">
      <c r="A889">
        <f>vendors!B891</f>
        <v>0</v>
      </c>
      <c r="B889" s="5">
        <f>vendors!C891</f>
        <v>0</v>
      </c>
      <c r="D889">
        <f t="shared" si="28"/>
        <v>0</v>
      </c>
      <c r="E889" t="str">
        <f t="shared" si="29"/>
        <v>X</v>
      </c>
    </row>
    <row r="890" spans="1:5" x14ac:dyDescent="0.3">
      <c r="A890">
        <f>vendors!B892</f>
        <v>0</v>
      </c>
      <c r="B890" s="5">
        <f>vendors!C892</f>
        <v>0</v>
      </c>
      <c r="D890">
        <f t="shared" si="28"/>
        <v>0</v>
      </c>
      <c r="E890" t="str">
        <f t="shared" si="29"/>
        <v>X</v>
      </c>
    </row>
    <row r="891" spans="1:5" x14ac:dyDescent="0.3">
      <c r="A891">
        <f>vendors!B893</f>
        <v>0</v>
      </c>
      <c r="B891" s="5">
        <f>vendors!C893</f>
        <v>0</v>
      </c>
      <c r="D891">
        <f t="shared" si="28"/>
        <v>0</v>
      </c>
      <c r="E891" t="str">
        <f t="shared" si="29"/>
        <v>X</v>
      </c>
    </row>
    <row r="892" spans="1:5" x14ac:dyDescent="0.3">
      <c r="A892">
        <f>vendors!B894</f>
        <v>0</v>
      </c>
      <c r="B892" s="5">
        <f>vendors!C894</f>
        <v>0</v>
      </c>
      <c r="D892">
        <f t="shared" si="28"/>
        <v>0</v>
      </c>
      <c r="E892" t="str">
        <f t="shared" si="29"/>
        <v>X</v>
      </c>
    </row>
    <row r="893" spans="1:5" x14ac:dyDescent="0.3">
      <c r="A893">
        <f>vendors!B895</f>
        <v>0</v>
      </c>
      <c r="B893" s="5">
        <f>vendors!C895</f>
        <v>0</v>
      </c>
      <c r="D893">
        <f t="shared" si="28"/>
        <v>0</v>
      </c>
      <c r="E893" t="str">
        <f t="shared" si="29"/>
        <v>X</v>
      </c>
    </row>
    <row r="894" spans="1:5" x14ac:dyDescent="0.3">
      <c r="A894">
        <f>vendors!B896</f>
        <v>0</v>
      </c>
      <c r="B894" s="5">
        <f>vendors!C896</f>
        <v>0</v>
      </c>
      <c r="D894">
        <f t="shared" si="28"/>
        <v>0</v>
      </c>
      <c r="E894" t="str">
        <f t="shared" si="29"/>
        <v>X</v>
      </c>
    </row>
    <row r="895" spans="1:5" x14ac:dyDescent="0.3">
      <c r="A895">
        <f>vendors!B897</f>
        <v>0</v>
      </c>
      <c r="B895" s="5">
        <f>vendors!C897</f>
        <v>0</v>
      </c>
      <c r="D895">
        <f t="shared" si="28"/>
        <v>0</v>
      </c>
      <c r="E895" t="str">
        <f t="shared" si="29"/>
        <v>X</v>
      </c>
    </row>
    <row r="896" spans="1:5" x14ac:dyDescent="0.3">
      <c r="A896">
        <f>vendors!B898</f>
        <v>0</v>
      </c>
      <c r="B896" s="5">
        <f>vendors!C898</f>
        <v>0</v>
      </c>
      <c r="D896">
        <f t="shared" si="28"/>
        <v>0</v>
      </c>
      <c r="E896" t="str">
        <f t="shared" si="29"/>
        <v>X</v>
      </c>
    </row>
    <row r="897" spans="1:5" x14ac:dyDescent="0.3">
      <c r="A897">
        <f>vendors!B899</f>
        <v>0</v>
      </c>
      <c r="B897" s="5">
        <f>vendors!C899</f>
        <v>0</v>
      </c>
      <c r="D897">
        <f t="shared" si="28"/>
        <v>0</v>
      </c>
      <c r="E897" t="str">
        <f t="shared" si="29"/>
        <v>X</v>
      </c>
    </row>
    <row r="898" spans="1:5" x14ac:dyDescent="0.3">
      <c r="A898">
        <f>vendors!B900</f>
        <v>0</v>
      </c>
      <c r="B898" s="5">
        <f>vendors!C900</f>
        <v>0</v>
      </c>
      <c r="D898">
        <f t="shared" si="28"/>
        <v>0</v>
      </c>
      <c r="E898" t="str">
        <f t="shared" si="29"/>
        <v>X</v>
      </c>
    </row>
    <row r="899" spans="1:5" x14ac:dyDescent="0.3">
      <c r="A899">
        <f>vendors!B901</f>
        <v>0</v>
      </c>
      <c r="B899" s="5">
        <f>vendors!C901</f>
        <v>0</v>
      </c>
      <c r="D899">
        <f t="shared" ref="D899:D962" si="30">C899*B899</f>
        <v>0</v>
      </c>
      <c r="E899" t="str">
        <f t="shared" ref="E899:E962" si="31">IF(C899&lt;500, "X", "")</f>
        <v>X</v>
      </c>
    </row>
    <row r="900" spans="1:5" x14ac:dyDescent="0.3">
      <c r="A900">
        <f>vendors!B902</f>
        <v>0</v>
      </c>
      <c r="B900" s="5">
        <f>vendors!C902</f>
        <v>0</v>
      </c>
      <c r="D900">
        <f t="shared" si="30"/>
        <v>0</v>
      </c>
      <c r="E900" t="str">
        <f t="shared" si="31"/>
        <v>X</v>
      </c>
    </row>
    <row r="901" spans="1:5" x14ac:dyDescent="0.3">
      <c r="A901">
        <f>vendors!B903</f>
        <v>0</v>
      </c>
      <c r="B901" s="5">
        <f>vendors!C903</f>
        <v>0</v>
      </c>
      <c r="D901">
        <f t="shared" si="30"/>
        <v>0</v>
      </c>
      <c r="E901" t="str">
        <f t="shared" si="31"/>
        <v>X</v>
      </c>
    </row>
    <row r="902" spans="1:5" x14ac:dyDescent="0.3">
      <c r="A902">
        <f>vendors!B904</f>
        <v>0</v>
      </c>
      <c r="B902" s="5">
        <f>vendors!C904</f>
        <v>0</v>
      </c>
      <c r="D902">
        <f t="shared" si="30"/>
        <v>0</v>
      </c>
      <c r="E902" t="str">
        <f t="shared" si="31"/>
        <v>X</v>
      </c>
    </row>
    <row r="903" spans="1:5" x14ac:dyDescent="0.3">
      <c r="A903">
        <f>vendors!B905</f>
        <v>0</v>
      </c>
      <c r="B903" s="5">
        <f>vendors!C905</f>
        <v>0</v>
      </c>
      <c r="D903">
        <f t="shared" si="30"/>
        <v>0</v>
      </c>
      <c r="E903" t="str">
        <f t="shared" si="31"/>
        <v>X</v>
      </c>
    </row>
    <row r="904" spans="1:5" x14ac:dyDescent="0.3">
      <c r="A904">
        <f>vendors!B906</f>
        <v>0</v>
      </c>
      <c r="B904" s="5">
        <f>vendors!C906</f>
        <v>0</v>
      </c>
      <c r="D904">
        <f t="shared" si="30"/>
        <v>0</v>
      </c>
      <c r="E904" t="str">
        <f t="shared" si="31"/>
        <v>X</v>
      </c>
    </row>
    <row r="905" spans="1:5" x14ac:dyDescent="0.3">
      <c r="A905">
        <f>vendors!B907</f>
        <v>0</v>
      </c>
      <c r="B905" s="5">
        <f>vendors!C907</f>
        <v>0</v>
      </c>
      <c r="D905">
        <f t="shared" si="30"/>
        <v>0</v>
      </c>
      <c r="E905" t="str">
        <f t="shared" si="31"/>
        <v>X</v>
      </c>
    </row>
    <row r="906" spans="1:5" x14ac:dyDescent="0.3">
      <c r="A906">
        <f>vendors!B908</f>
        <v>0</v>
      </c>
      <c r="B906" s="5">
        <f>vendors!C908</f>
        <v>0</v>
      </c>
      <c r="D906">
        <f t="shared" si="30"/>
        <v>0</v>
      </c>
      <c r="E906" t="str">
        <f t="shared" si="31"/>
        <v>X</v>
      </c>
    </row>
    <row r="907" spans="1:5" x14ac:dyDescent="0.3">
      <c r="A907">
        <f>vendors!B909</f>
        <v>0</v>
      </c>
      <c r="B907" s="5">
        <f>vendors!C909</f>
        <v>0</v>
      </c>
      <c r="D907">
        <f t="shared" si="30"/>
        <v>0</v>
      </c>
      <c r="E907" t="str">
        <f t="shared" si="31"/>
        <v>X</v>
      </c>
    </row>
    <row r="908" spans="1:5" x14ac:dyDescent="0.3">
      <c r="A908">
        <f>vendors!B910</f>
        <v>0</v>
      </c>
      <c r="B908" s="5">
        <f>vendors!C910</f>
        <v>0</v>
      </c>
      <c r="D908">
        <f t="shared" si="30"/>
        <v>0</v>
      </c>
      <c r="E908" t="str">
        <f t="shared" si="31"/>
        <v>X</v>
      </c>
    </row>
    <row r="909" spans="1:5" x14ac:dyDescent="0.3">
      <c r="A909">
        <f>vendors!B911</f>
        <v>0</v>
      </c>
      <c r="B909" s="5">
        <f>vendors!C911</f>
        <v>0</v>
      </c>
      <c r="D909">
        <f t="shared" si="30"/>
        <v>0</v>
      </c>
      <c r="E909" t="str">
        <f t="shared" si="31"/>
        <v>X</v>
      </c>
    </row>
    <row r="910" spans="1:5" x14ac:dyDescent="0.3">
      <c r="A910">
        <f>vendors!B912</f>
        <v>0</v>
      </c>
      <c r="B910" s="5">
        <f>vendors!C912</f>
        <v>0</v>
      </c>
      <c r="D910">
        <f t="shared" si="30"/>
        <v>0</v>
      </c>
      <c r="E910" t="str">
        <f t="shared" si="31"/>
        <v>X</v>
      </c>
    </row>
    <row r="911" spans="1:5" x14ac:dyDescent="0.3">
      <c r="A911">
        <f>vendors!B913</f>
        <v>0</v>
      </c>
      <c r="B911" s="5">
        <f>vendors!C913</f>
        <v>0</v>
      </c>
      <c r="D911">
        <f t="shared" si="30"/>
        <v>0</v>
      </c>
      <c r="E911" t="str">
        <f t="shared" si="31"/>
        <v>X</v>
      </c>
    </row>
    <row r="912" spans="1:5" x14ac:dyDescent="0.3">
      <c r="A912">
        <f>vendors!B914</f>
        <v>0</v>
      </c>
      <c r="B912" s="5">
        <f>vendors!C914</f>
        <v>0</v>
      </c>
      <c r="D912">
        <f t="shared" si="30"/>
        <v>0</v>
      </c>
      <c r="E912" t="str">
        <f t="shared" si="31"/>
        <v>X</v>
      </c>
    </row>
    <row r="913" spans="1:5" x14ac:dyDescent="0.3">
      <c r="A913">
        <f>vendors!B915</f>
        <v>0</v>
      </c>
      <c r="B913" s="5">
        <f>vendors!C915</f>
        <v>0</v>
      </c>
      <c r="D913">
        <f t="shared" si="30"/>
        <v>0</v>
      </c>
      <c r="E913" t="str">
        <f t="shared" si="31"/>
        <v>X</v>
      </c>
    </row>
    <row r="914" spans="1:5" x14ac:dyDescent="0.3">
      <c r="A914">
        <f>vendors!B916</f>
        <v>0</v>
      </c>
      <c r="B914" s="5">
        <f>vendors!C916</f>
        <v>0</v>
      </c>
      <c r="D914">
        <f t="shared" si="30"/>
        <v>0</v>
      </c>
      <c r="E914" t="str">
        <f t="shared" si="31"/>
        <v>X</v>
      </c>
    </row>
    <row r="915" spans="1:5" x14ac:dyDescent="0.3">
      <c r="A915">
        <f>vendors!B917</f>
        <v>0</v>
      </c>
      <c r="B915" s="5">
        <f>vendors!C917</f>
        <v>0</v>
      </c>
      <c r="D915">
        <f t="shared" si="30"/>
        <v>0</v>
      </c>
      <c r="E915" t="str">
        <f t="shared" si="31"/>
        <v>X</v>
      </c>
    </row>
    <row r="916" spans="1:5" x14ac:dyDescent="0.3">
      <c r="A916">
        <f>vendors!B918</f>
        <v>0</v>
      </c>
      <c r="B916" s="5">
        <f>vendors!C918</f>
        <v>0</v>
      </c>
      <c r="D916">
        <f t="shared" si="30"/>
        <v>0</v>
      </c>
      <c r="E916" t="str">
        <f t="shared" si="31"/>
        <v>X</v>
      </c>
    </row>
    <row r="917" spans="1:5" x14ac:dyDescent="0.3">
      <c r="A917">
        <f>vendors!B919</f>
        <v>0</v>
      </c>
      <c r="B917" s="5">
        <f>vendors!C919</f>
        <v>0</v>
      </c>
      <c r="D917">
        <f t="shared" si="30"/>
        <v>0</v>
      </c>
      <c r="E917" t="str">
        <f t="shared" si="31"/>
        <v>X</v>
      </c>
    </row>
    <row r="918" spans="1:5" x14ac:dyDescent="0.3">
      <c r="A918">
        <f>vendors!B920</f>
        <v>0</v>
      </c>
      <c r="B918" s="5">
        <f>vendors!C920</f>
        <v>0</v>
      </c>
      <c r="D918">
        <f t="shared" si="30"/>
        <v>0</v>
      </c>
      <c r="E918" t="str">
        <f t="shared" si="31"/>
        <v>X</v>
      </c>
    </row>
    <row r="919" spans="1:5" x14ac:dyDescent="0.3">
      <c r="A919">
        <f>vendors!B921</f>
        <v>0</v>
      </c>
      <c r="B919" s="5">
        <f>vendors!C921</f>
        <v>0</v>
      </c>
      <c r="D919">
        <f t="shared" si="30"/>
        <v>0</v>
      </c>
      <c r="E919" t="str">
        <f t="shared" si="31"/>
        <v>X</v>
      </c>
    </row>
    <row r="920" spans="1:5" x14ac:dyDescent="0.3">
      <c r="A920">
        <f>vendors!B922</f>
        <v>0</v>
      </c>
      <c r="B920" s="5">
        <f>vendors!C922</f>
        <v>0</v>
      </c>
      <c r="D920">
        <f t="shared" si="30"/>
        <v>0</v>
      </c>
      <c r="E920" t="str">
        <f t="shared" si="31"/>
        <v>X</v>
      </c>
    </row>
    <row r="921" spans="1:5" x14ac:dyDescent="0.3">
      <c r="A921">
        <f>vendors!B923</f>
        <v>0</v>
      </c>
      <c r="B921" s="5">
        <f>vendors!C923</f>
        <v>0</v>
      </c>
      <c r="D921">
        <f t="shared" si="30"/>
        <v>0</v>
      </c>
      <c r="E921" t="str">
        <f t="shared" si="31"/>
        <v>X</v>
      </c>
    </row>
    <row r="922" spans="1:5" x14ac:dyDescent="0.3">
      <c r="A922">
        <f>vendors!B924</f>
        <v>0</v>
      </c>
      <c r="B922" s="5">
        <f>vendors!C924</f>
        <v>0</v>
      </c>
      <c r="D922">
        <f t="shared" si="30"/>
        <v>0</v>
      </c>
      <c r="E922" t="str">
        <f t="shared" si="31"/>
        <v>X</v>
      </c>
    </row>
    <row r="923" spans="1:5" x14ac:dyDescent="0.3">
      <c r="A923">
        <f>vendors!B925</f>
        <v>0</v>
      </c>
      <c r="B923" s="5">
        <f>vendors!C925</f>
        <v>0</v>
      </c>
      <c r="D923">
        <f t="shared" si="30"/>
        <v>0</v>
      </c>
      <c r="E923" t="str">
        <f t="shared" si="31"/>
        <v>X</v>
      </c>
    </row>
    <row r="924" spans="1:5" x14ac:dyDescent="0.3">
      <c r="A924">
        <f>vendors!B926</f>
        <v>0</v>
      </c>
      <c r="B924" s="5">
        <f>vendors!C926</f>
        <v>0</v>
      </c>
      <c r="D924">
        <f t="shared" si="30"/>
        <v>0</v>
      </c>
      <c r="E924" t="str">
        <f t="shared" si="31"/>
        <v>X</v>
      </c>
    </row>
    <row r="925" spans="1:5" x14ac:dyDescent="0.3">
      <c r="A925">
        <f>vendors!B927</f>
        <v>0</v>
      </c>
      <c r="B925" s="5">
        <f>vendors!C927</f>
        <v>0</v>
      </c>
      <c r="D925">
        <f t="shared" si="30"/>
        <v>0</v>
      </c>
      <c r="E925" t="str">
        <f t="shared" si="31"/>
        <v>X</v>
      </c>
    </row>
    <row r="926" spans="1:5" x14ac:dyDescent="0.3">
      <c r="A926">
        <f>vendors!B928</f>
        <v>0</v>
      </c>
      <c r="B926" s="5">
        <f>vendors!C928</f>
        <v>0</v>
      </c>
      <c r="D926">
        <f t="shared" si="30"/>
        <v>0</v>
      </c>
      <c r="E926" t="str">
        <f t="shared" si="31"/>
        <v>X</v>
      </c>
    </row>
    <row r="927" spans="1:5" x14ac:dyDescent="0.3">
      <c r="A927">
        <f>vendors!B929</f>
        <v>0</v>
      </c>
      <c r="B927" s="5">
        <f>vendors!C929</f>
        <v>0</v>
      </c>
      <c r="D927">
        <f t="shared" si="30"/>
        <v>0</v>
      </c>
      <c r="E927" t="str">
        <f t="shared" si="31"/>
        <v>X</v>
      </c>
    </row>
    <row r="928" spans="1:5" x14ac:dyDescent="0.3">
      <c r="A928">
        <f>vendors!B930</f>
        <v>0</v>
      </c>
      <c r="B928" s="5">
        <f>vendors!C930</f>
        <v>0</v>
      </c>
      <c r="D928">
        <f t="shared" si="30"/>
        <v>0</v>
      </c>
      <c r="E928" t="str">
        <f t="shared" si="31"/>
        <v>X</v>
      </c>
    </row>
    <row r="929" spans="1:5" x14ac:dyDescent="0.3">
      <c r="A929">
        <f>vendors!B931</f>
        <v>0</v>
      </c>
      <c r="B929" s="5">
        <f>vendors!C931</f>
        <v>0</v>
      </c>
      <c r="D929">
        <f t="shared" si="30"/>
        <v>0</v>
      </c>
      <c r="E929" t="str">
        <f t="shared" si="31"/>
        <v>X</v>
      </c>
    </row>
    <row r="930" spans="1:5" x14ac:dyDescent="0.3">
      <c r="A930">
        <f>vendors!B932</f>
        <v>0</v>
      </c>
      <c r="B930" s="5">
        <f>vendors!C932</f>
        <v>0</v>
      </c>
      <c r="D930">
        <f t="shared" si="30"/>
        <v>0</v>
      </c>
      <c r="E930" t="str">
        <f t="shared" si="31"/>
        <v>X</v>
      </c>
    </row>
    <row r="931" spans="1:5" x14ac:dyDescent="0.3">
      <c r="A931">
        <f>vendors!B933</f>
        <v>0</v>
      </c>
      <c r="B931" s="5">
        <f>vendors!C933</f>
        <v>0</v>
      </c>
      <c r="D931">
        <f t="shared" si="30"/>
        <v>0</v>
      </c>
      <c r="E931" t="str">
        <f t="shared" si="31"/>
        <v>X</v>
      </c>
    </row>
    <row r="932" spans="1:5" x14ac:dyDescent="0.3">
      <c r="A932">
        <f>vendors!B934</f>
        <v>0</v>
      </c>
      <c r="B932" s="5">
        <f>vendors!C934</f>
        <v>0</v>
      </c>
      <c r="D932">
        <f t="shared" si="30"/>
        <v>0</v>
      </c>
      <c r="E932" t="str">
        <f t="shared" si="31"/>
        <v>X</v>
      </c>
    </row>
    <row r="933" spans="1:5" x14ac:dyDescent="0.3">
      <c r="A933">
        <f>vendors!B935</f>
        <v>0</v>
      </c>
      <c r="B933" s="5">
        <f>vendors!C935</f>
        <v>0</v>
      </c>
      <c r="D933">
        <f t="shared" si="30"/>
        <v>0</v>
      </c>
      <c r="E933" t="str">
        <f t="shared" si="31"/>
        <v>X</v>
      </c>
    </row>
    <row r="934" spans="1:5" x14ac:dyDescent="0.3">
      <c r="A934">
        <f>vendors!B936</f>
        <v>0</v>
      </c>
      <c r="B934" s="5">
        <f>vendors!C936</f>
        <v>0</v>
      </c>
      <c r="D934">
        <f t="shared" si="30"/>
        <v>0</v>
      </c>
      <c r="E934" t="str">
        <f t="shared" si="31"/>
        <v>X</v>
      </c>
    </row>
    <row r="935" spans="1:5" x14ac:dyDescent="0.3">
      <c r="A935">
        <f>vendors!B937</f>
        <v>0</v>
      </c>
      <c r="B935" s="5">
        <f>vendors!C937</f>
        <v>0</v>
      </c>
      <c r="D935">
        <f t="shared" si="30"/>
        <v>0</v>
      </c>
      <c r="E935" t="str">
        <f t="shared" si="31"/>
        <v>X</v>
      </c>
    </row>
    <row r="936" spans="1:5" x14ac:dyDescent="0.3">
      <c r="A936">
        <f>vendors!B938</f>
        <v>0</v>
      </c>
      <c r="B936" s="5">
        <f>vendors!C938</f>
        <v>0</v>
      </c>
      <c r="D936">
        <f t="shared" si="30"/>
        <v>0</v>
      </c>
      <c r="E936" t="str">
        <f t="shared" si="31"/>
        <v>X</v>
      </c>
    </row>
    <row r="937" spans="1:5" x14ac:dyDescent="0.3">
      <c r="A937">
        <f>vendors!B939</f>
        <v>0</v>
      </c>
      <c r="B937" s="5">
        <f>vendors!C939</f>
        <v>0</v>
      </c>
      <c r="D937">
        <f t="shared" si="30"/>
        <v>0</v>
      </c>
      <c r="E937" t="str">
        <f t="shared" si="31"/>
        <v>X</v>
      </c>
    </row>
    <row r="938" spans="1:5" x14ac:dyDescent="0.3">
      <c r="A938">
        <f>vendors!B940</f>
        <v>0</v>
      </c>
      <c r="B938" s="5">
        <f>vendors!C940</f>
        <v>0</v>
      </c>
      <c r="D938">
        <f t="shared" si="30"/>
        <v>0</v>
      </c>
      <c r="E938" t="str">
        <f t="shared" si="31"/>
        <v>X</v>
      </c>
    </row>
    <row r="939" spans="1:5" x14ac:dyDescent="0.3">
      <c r="A939">
        <f>vendors!B941</f>
        <v>0</v>
      </c>
      <c r="B939" s="5">
        <f>vendors!C941</f>
        <v>0</v>
      </c>
      <c r="D939">
        <f t="shared" si="30"/>
        <v>0</v>
      </c>
      <c r="E939" t="str">
        <f t="shared" si="31"/>
        <v>X</v>
      </c>
    </row>
    <row r="940" spans="1:5" x14ac:dyDescent="0.3">
      <c r="A940">
        <f>vendors!B942</f>
        <v>0</v>
      </c>
      <c r="B940" s="5">
        <f>vendors!C942</f>
        <v>0</v>
      </c>
      <c r="D940">
        <f t="shared" si="30"/>
        <v>0</v>
      </c>
      <c r="E940" t="str">
        <f t="shared" si="31"/>
        <v>X</v>
      </c>
    </row>
    <row r="941" spans="1:5" x14ac:dyDescent="0.3">
      <c r="A941">
        <f>vendors!B943</f>
        <v>0</v>
      </c>
      <c r="B941" s="5">
        <f>vendors!C943</f>
        <v>0</v>
      </c>
      <c r="D941">
        <f t="shared" si="30"/>
        <v>0</v>
      </c>
      <c r="E941" t="str">
        <f t="shared" si="31"/>
        <v>X</v>
      </c>
    </row>
    <row r="942" spans="1:5" x14ac:dyDescent="0.3">
      <c r="A942">
        <f>vendors!B944</f>
        <v>0</v>
      </c>
      <c r="B942" s="5">
        <f>vendors!C944</f>
        <v>0</v>
      </c>
      <c r="D942">
        <f t="shared" si="30"/>
        <v>0</v>
      </c>
      <c r="E942" t="str">
        <f t="shared" si="31"/>
        <v>X</v>
      </c>
    </row>
    <row r="943" spans="1:5" x14ac:dyDescent="0.3">
      <c r="A943">
        <f>vendors!B945</f>
        <v>0</v>
      </c>
      <c r="B943" s="5">
        <f>vendors!C945</f>
        <v>0</v>
      </c>
      <c r="D943">
        <f t="shared" si="30"/>
        <v>0</v>
      </c>
      <c r="E943" t="str">
        <f t="shared" si="31"/>
        <v>X</v>
      </c>
    </row>
    <row r="944" spans="1:5" x14ac:dyDescent="0.3">
      <c r="A944">
        <f>vendors!B946</f>
        <v>0</v>
      </c>
      <c r="B944" s="5">
        <f>vendors!C946</f>
        <v>0</v>
      </c>
      <c r="D944">
        <f t="shared" si="30"/>
        <v>0</v>
      </c>
      <c r="E944" t="str">
        <f t="shared" si="31"/>
        <v>X</v>
      </c>
    </row>
    <row r="945" spans="1:5" x14ac:dyDescent="0.3">
      <c r="A945">
        <f>vendors!B947</f>
        <v>0</v>
      </c>
      <c r="B945" s="5">
        <f>vendors!C947</f>
        <v>0</v>
      </c>
      <c r="D945">
        <f t="shared" si="30"/>
        <v>0</v>
      </c>
      <c r="E945" t="str">
        <f t="shared" si="31"/>
        <v>X</v>
      </c>
    </row>
    <row r="946" spans="1:5" x14ac:dyDescent="0.3">
      <c r="A946">
        <f>vendors!B948</f>
        <v>0</v>
      </c>
      <c r="B946" s="5">
        <f>vendors!C948</f>
        <v>0</v>
      </c>
      <c r="D946">
        <f t="shared" si="30"/>
        <v>0</v>
      </c>
      <c r="E946" t="str">
        <f t="shared" si="31"/>
        <v>X</v>
      </c>
    </row>
    <row r="947" spans="1:5" x14ac:dyDescent="0.3">
      <c r="A947">
        <f>vendors!B949</f>
        <v>0</v>
      </c>
      <c r="B947" s="5">
        <f>vendors!C949</f>
        <v>0</v>
      </c>
      <c r="D947">
        <f t="shared" si="30"/>
        <v>0</v>
      </c>
      <c r="E947" t="str">
        <f t="shared" si="31"/>
        <v>X</v>
      </c>
    </row>
    <row r="948" spans="1:5" x14ac:dyDescent="0.3">
      <c r="A948">
        <f>vendors!B950</f>
        <v>0</v>
      </c>
      <c r="B948" s="5">
        <f>vendors!C950</f>
        <v>0</v>
      </c>
      <c r="D948">
        <f t="shared" si="30"/>
        <v>0</v>
      </c>
      <c r="E948" t="str">
        <f t="shared" si="31"/>
        <v>X</v>
      </c>
    </row>
    <row r="949" spans="1:5" x14ac:dyDescent="0.3">
      <c r="A949">
        <f>vendors!B951</f>
        <v>0</v>
      </c>
      <c r="B949" s="5">
        <f>vendors!C951</f>
        <v>0</v>
      </c>
      <c r="D949">
        <f t="shared" si="30"/>
        <v>0</v>
      </c>
      <c r="E949" t="str">
        <f t="shared" si="31"/>
        <v>X</v>
      </c>
    </row>
    <row r="950" spans="1:5" x14ac:dyDescent="0.3">
      <c r="A950">
        <f>vendors!B952</f>
        <v>0</v>
      </c>
      <c r="B950" s="5">
        <f>vendors!C952</f>
        <v>0</v>
      </c>
      <c r="D950">
        <f t="shared" si="30"/>
        <v>0</v>
      </c>
      <c r="E950" t="str">
        <f t="shared" si="31"/>
        <v>X</v>
      </c>
    </row>
    <row r="951" spans="1:5" x14ac:dyDescent="0.3">
      <c r="A951">
        <f>vendors!B953</f>
        <v>0</v>
      </c>
      <c r="B951" s="5">
        <f>vendors!C953</f>
        <v>0</v>
      </c>
      <c r="D951">
        <f t="shared" si="30"/>
        <v>0</v>
      </c>
      <c r="E951" t="str">
        <f t="shared" si="31"/>
        <v>X</v>
      </c>
    </row>
    <row r="952" spans="1:5" x14ac:dyDescent="0.3">
      <c r="A952">
        <f>vendors!B954</f>
        <v>0</v>
      </c>
      <c r="B952" s="5">
        <f>vendors!C954</f>
        <v>0</v>
      </c>
      <c r="D952">
        <f t="shared" si="30"/>
        <v>0</v>
      </c>
      <c r="E952" t="str">
        <f t="shared" si="31"/>
        <v>X</v>
      </c>
    </row>
    <row r="953" spans="1:5" x14ac:dyDescent="0.3">
      <c r="A953">
        <f>vendors!B955</f>
        <v>0</v>
      </c>
      <c r="B953" s="5">
        <f>vendors!C955</f>
        <v>0</v>
      </c>
      <c r="D953">
        <f t="shared" si="30"/>
        <v>0</v>
      </c>
      <c r="E953" t="str">
        <f t="shared" si="31"/>
        <v>X</v>
      </c>
    </row>
    <row r="954" spans="1:5" x14ac:dyDescent="0.3">
      <c r="A954">
        <f>vendors!B956</f>
        <v>0</v>
      </c>
      <c r="B954" s="5">
        <f>vendors!C956</f>
        <v>0</v>
      </c>
      <c r="D954">
        <f t="shared" si="30"/>
        <v>0</v>
      </c>
      <c r="E954" t="str">
        <f t="shared" si="31"/>
        <v>X</v>
      </c>
    </row>
    <row r="955" spans="1:5" x14ac:dyDescent="0.3">
      <c r="A955">
        <f>vendors!B957</f>
        <v>0</v>
      </c>
      <c r="B955" s="5">
        <f>vendors!C957</f>
        <v>0</v>
      </c>
      <c r="D955">
        <f t="shared" si="30"/>
        <v>0</v>
      </c>
      <c r="E955" t="str">
        <f t="shared" si="31"/>
        <v>X</v>
      </c>
    </row>
    <row r="956" spans="1:5" x14ac:dyDescent="0.3">
      <c r="A956">
        <f>vendors!B958</f>
        <v>0</v>
      </c>
      <c r="B956" s="5">
        <f>vendors!C958</f>
        <v>0</v>
      </c>
      <c r="D956">
        <f t="shared" si="30"/>
        <v>0</v>
      </c>
      <c r="E956" t="str">
        <f t="shared" si="31"/>
        <v>X</v>
      </c>
    </row>
    <row r="957" spans="1:5" x14ac:dyDescent="0.3">
      <c r="A957">
        <f>vendors!B959</f>
        <v>0</v>
      </c>
      <c r="B957" s="5">
        <f>vendors!C959</f>
        <v>0</v>
      </c>
      <c r="D957">
        <f t="shared" si="30"/>
        <v>0</v>
      </c>
      <c r="E957" t="str">
        <f t="shared" si="31"/>
        <v>X</v>
      </c>
    </row>
    <row r="958" spans="1:5" x14ac:dyDescent="0.3">
      <c r="A958">
        <f>vendors!B960</f>
        <v>0</v>
      </c>
      <c r="B958" s="5">
        <f>vendors!C960</f>
        <v>0</v>
      </c>
      <c r="D958">
        <f t="shared" si="30"/>
        <v>0</v>
      </c>
      <c r="E958" t="str">
        <f t="shared" si="31"/>
        <v>X</v>
      </c>
    </row>
    <row r="959" spans="1:5" x14ac:dyDescent="0.3">
      <c r="A959">
        <f>vendors!B961</f>
        <v>0</v>
      </c>
      <c r="B959" s="5">
        <f>vendors!C961</f>
        <v>0</v>
      </c>
      <c r="D959">
        <f t="shared" si="30"/>
        <v>0</v>
      </c>
      <c r="E959" t="str">
        <f t="shared" si="31"/>
        <v>X</v>
      </c>
    </row>
    <row r="960" spans="1:5" x14ac:dyDescent="0.3">
      <c r="A960">
        <f>vendors!B962</f>
        <v>0</v>
      </c>
      <c r="B960" s="5">
        <f>vendors!C962</f>
        <v>0</v>
      </c>
      <c r="D960">
        <f t="shared" si="30"/>
        <v>0</v>
      </c>
      <c r="E960" t="str">
        <f t="shared" si="31"/>
        <v>X</v>
      </c>
    </row>
    <row r="961" spans="1:5" x14ac:dyDescent="0.3">
      <c r="A961">
        <f>vendors!B963</f>
        <v>0</v>
      </c>
      <c r="B961" s="5">
        <f>vendors!C963</f>
        <v>0</v>
      </c>
      <c r="D961">
        <f t="shared" si="30"/>
        <v>0</v>
      </c>
      <c r="E961" t="str">
        <f t="shared" si="31"/>
        <v>X</v>
      </c>
    </row>
    <row r="962" spans="1:5" x14ac:dyDescent="0.3">
      <c r="A962">
        <f>vendors!B964</f>
        <v>0</v>
      </c>
      <c r="B962" s="5">
        <f>vendors!C964</f>
        <v>0</v>
      </c>
      <c r="D962">
        <f t="shared" si="30"/>
        <v>0</v>
      </c>
      <c r="E962" t="str">
        <f t="shared" si="31"/>
        <v>X</v>
      </c>
    </row>
    <row r="963" spans="1:5" x14ac:dyDescent="0.3">
      <c r="A963">
        <f>vendors!B965</f>
        <v>0</v>
      </c>
      <c r="B963" s="5">
        <f>vendors!C965</f>
        <v>0</v>
      </c>
      <c r="D963">
        <f t="shared" ref="D963:D991" si="32">C963*B963</f>
        <v>0</v>
      </c>
      <c r="E963" t="str">
        <f t="shared" ref="E963:E991" si="33">IF(C963&lt;500, "X", "")</f>
        <v>X</v>
      </c>
    </row>
    <row r="964" spans="1:5" x14ac:dyDescent="0.3">
      <c r="A964">
        <f>vendors!B966</f>
        <v>0</v>
      </c>
      <c r="B964" s="5">
        <f>vendors!C966</f>
        <v>0</v>
      </c>
      <c r="D964">
        <f t="shared" si="32"/>
        <v>0</v>
      </c>
      <c r="E964" t="str">
        <f t="shared" si="33"/>
        <v>X</v>
      </c>
    </row>
    <row r="965" spans="1:5" x14ac:dyDescent="0.3">
      <c r="A965">
        <f>vendors!B967</f>
        <v>0</v>
      </c>
      <c r="B965" s="5">
        <f>vendors!C967</f>
        <v>0</v>
      </c>
      <c r="D965">
        <f t="shared" si="32"/>
        <v>0</v>
      </c>
      <c r="E965" t="str">
        <f t="shared" si="33"/>
        <v>X</v>
      </c>
    </row>
    <row r="966" spans="1:5" x14ac:dyDescent="0.3">
      <c r="A966">
        <f>vendors!B968</f>
        <v>0</v>
      </c>
      <c r="B966" s="5">
        <f>vendors!C968</f>
        <v>0</v>
      </c>
      <c r="D966">
        <f t="shared" si="32"/>
        <v>0</v>
      </c>
      <c r="E966" t="str">
        <f t="shared" si="33"/>
        <v>X</v>
      </c>
    </row>
    <row r="967" spans="1:5" x14ac:dyDescent="0.3">
      <c r="A967">
        <f>vendors!B969</f>
        <v>0</v>
      </c>
      <c r="B967" s="5">
        <f>vendors!C969</f>
        <v>0</v>
      </c>
      <c r="D967">
        <f t="shared" si="32"/>
        <v>0</v>
      </c>
      <c r="E967" t="str">
        <f t="shared" si="33"/>
        <v>X</v>
      </c>
    </row>
    <row r="968" spans="1:5" x14ac:dyDescent="0.3">
      <c r="A968">
        <f>vendors!B970</f>
        <v>0</v>
      </c>
      <c r="B968" s="5">
        <f>vendors!C970</f>
        <v>0</v>
      </c>
      <c r="D968">
        <f t="shared" si="32"/>
        <v>0</v>
      </c>
      <c r="E968" t="str">
        <f t="shared" si="33"/>
        <v>X</v>
      </c>
    </row>
    <row r="969" spans="1:5" x14ac:dyDescent="0.3">
      <c r="A969">
        <f>vendors!B971</f>
        <v>0</v>
      </c>
      <c r="B969" s="5">
        <f>vendors!C971</f>
        <v>0</v>
      </c>
      <c r="D969">
        <f t="shared" si="32"/>
        <v>0</v>
      </c>
      <c r="E969" t="str">
        <f t="shared" si="33"/>
        <v>X</v>
      </c>
    </row>
    <row r="970" spans="1:5" x14ac:dyDescent="0.3">
      <c r="A970">
        <f>vendors!B972</f>
        <v>0</v>
      </c>
      <c r="B970" s="5">
        <f>vendors!C972</f>
        <v>0</v>
      </c>
      <c r="D970">
        <f t="shared" si="32"/>
        <v>0</v>
      </c>
      <c r="E970" t="str">
        <f t="shared" si="33"/>
        <v>X</v>
      </c>
    </row>
    <row r="971" spans="1:5" x14ac:dyDescent="0.3">
      <c r="A971">
        <f>vendors!B973</f>
        <v>0</v>
      </c>
      <c r="B971" s="5">
        <f>vendors!C973</f>
        <v>0</v>
      </c>
      <c r="D971">
        <f t="shared" si="32"/>
        <v>0</v>
      </c>
      <c r="E971" t="str">
        <f t="shared" si="33"/>
        <v>X</v>
      </c>
    </row>
    <row r="972" spans="1:5" x14ac:dyDescent="0.3">
      <c r="A972">
        <f>vendors!B974</f>
        <v>0</v>
      </c>
      <c r="B972" s="5">
        <f>vendors!C974</f>
        <v>0</v>
      </c>
      <c r="D972">
        <f t="shared" si="32"/>
        <v>0</v>
      </c>
      <c r="E972" t="str">
        <f t="shared" si="33"/>
        <v>X</v>
      </c>
    </row>
    <row r="973" spans="1:5" x14ac:dyDescent="0.3">
      <c r="A973">
        <f>vendors!B975</f>
        <v>0</v>
      </c>
      <c r="B973" s="5">
        <f>vendors!C975</f>
        <v>0</v>
      </c>
      <c r="D973">
        <f t="shared" si="32"/>
        <v>0</v>
      </c>
      <c r="E973" t="str">
        <f t="shared" si="33"/>
        <v>X</v>
      </c>
    </row>
    <row r="974" spans="1:5" x14ac:dyDescent="0.3">
      <c r="A974">
        <f>vendors!B976</f>
        <v>0</v>
      </c>
      <c r="B974" s="5">
        <f>vendors!C976</f>
        <v>0</v>
      </c>
      <c r="D974">
        <f t="shared" si="32"/>
        <v>0</v>
      </c>
      <c r="E974" t="str">
        <f t="shared" si="33"/>
        <v>X</v>
      </c>
    </row>
    <row r="975" spans="1:5" x14ac:dyDescent="0.3">
      <c r="A975">
        <f>vendors!B977</f>
        <v>0</v>
      </c>
      <c r="B975" s="5">
        <f>vendors!C977</f>
        <v>0</v>
      </c>
      <c r="D975">
        <f t="shared" si="32"/>
        <v>0</v>
      </c>
      <c r="E975" t="str">
        <f t="shared" si="33"/>
        <v>X</v>
      </c>
    </row>
    <row r="976" spans="1:5" x14ac:dyDescent="0.3">
      <c r="A976">
        <f>vendors!B978</f>
        <v>0</v>
      </c>
      <c r="B976" s="5">
        <f>vendors!C978</f>
        <v>0</v>
      </c>
      <c r="D976">
        <f t="shared" si="32"/>
        <v>0</v>
      </c>
      <c r="E976" t="str">
        <f t="shared" si="33"/>
        <v>X</v>
      </c>
    </row>
    <row r="977" spans="1:5" x14ac:dyDescent="0.3">
      <c r="A977">
        <f>vendors!B979</f>
        <v>0</v>
      </c>
      <c r="B977" s="5">
        <f>vendors!C979</f>
        <v>0</v>
      </c>
      <c r="D977">
        <f t="shared" si="32"/>
        <v>0</v>
      </c>
      <c r="E977" t="str">
        <f t="shared" si="33"/>
        <v>X</v>
      </c>
    </row>
    <row r="978" spans="1:5" x14ac:dyDescent="0.3">
      <c r="A978">
        <f>vendors!B980</f>
        <v>0</v>
      </c>
      <c r="B978" s="5">
        <f>vendors!C980</f>
        <v>0</v>
      </c>
      <c r="D978">
        <f t="shared" si="32"/>
        <v>0</v>
      </c>
      <c r="E978" t="str">
        <f t="shared" si="33"/>
        <v>X</v>
      </c>
    </row>
    <row r="979" spans="1:5" x14ac:dyDescent="0.3">
      <c r="A979">
        <f>vendors!B981</f>
        <v>0</v>
      </c>
      <c r="B979" s="5">
        <f>vendors!C981</f>
        <v>0</v>
      </c>
      <c r="D979">
        <f t="shared" si="32"/>
        <v>0</v>
      </c>
      <c r="E979" t="str">
        <f t="shared" si="33"/>
        <v>X</v>
      </c>
    </row>
    <row r="980" spans="1:5" x14ac:dyDescent="0.3">
      <c r="A980">
        <f>vendors!B982</f>
        <v>0</v>
      </c>
      <c r="B980" s="5">
        <f>vendors!C982</f>
        <v>0</v>
      </c>
      <c r="D980">
        <f t="shared" si="32"/>
        <v>0</v>
      </c>
      <c r="E980" t="str">
        <f t="shared" si="33"/>
        <v>X</v>
      </c>
    </row>
    <row r="981" spans="1:5" x14ac:dyDescent="0.3">
      <c r="A981">
        <f>vendors!B983</f>
        <v>0</v>
      </c>
      <c r="B981" s="5">
        <f>vendors!C983</f>
        <v>0</v>
      </c>
      <c r="D981">
        <f t="shared" si="32"/>
        <v>0</v>
      </c>
      <c r="E981" t="str">
        <f t="shared" si="33"/>
        <v>X</v>
      </c>
    </row>
    <row r="982" spans="1:5" x14ac:dyDescent="0.3">
      <c r="A982">
        <f>vendors!B984</f>
        <v>0</v>
      </c>
      <c r="B982" s="5">
        <f>vendors!C984</f>
        <v>0</v>
      </c>
      <c r="D982">
        <f t="shared" si="32"/>
        <v>0</v>
      </c>
      <c r="E982" t="str">
        <f t="shared" si="33"/>
        <v>X</v>
      </c>
    </row>
    <row r="983" spans="1:5" x14ac:dyDescent="0.3">
      <c r="A983">
        <f>vendors!B985</f>
        <v>0</v>
      </c>
      <c r="B983" s="5">
        <f>vendors!C985</f>
        <v>0</v>
      </c>
      <c r="D983">
        <f t="shared" si="32"/>
        <v>0</v>
      </c>
      <c r="E983" t="str">
        <f t="shared" si="33"/>
        <v>X</v>
      </c>
    </row>
    <row r="984" spans="1:5" x14ac:dyDescent="0.3">
      <c r="A984">
        <f>vendors!B986</f>
        <v>0</v>
      </c>
      <c r="B984" s="5">
        <f>vendors!C986</f>
        <v>0</v>
      </c>
      <c r="D984">
        <f t="shared" si="32"/>
        <v>0</v>
      </c>
      <c r="E984" t="str">
        <f t="shared" si="33"/>
        <v>X</v>
      </c>
    </row>
    <row r="985" spans="1:5" x14ac:dyDescent="0.3">
      <c r="A985">
        <f>vendors!B987</f>
        <v>0</v>
      </c>
      <c r="B985" s="5">
        <f>vendors!C987</f>
        <v>0</v>
      </c>
      <c r="D985">
        <f t="shared" si="32"/>
        <v>0</v>
      </c>
      <c r="E985" t="str">
        <f t="shared" si="33"/>
        <v>X</v>
      </c>
    </row>
    <row r="986" spans="1:5" x14ac:dyDescent="0.3">
      <c r="A986">
        <f>vendors!B988</f>
        <v>0</v>
      </c>
      <c r="B986" s="5">
        <f>vendors!C988</f>
        <v>0</v>
      </c>
      <c r="D986">
        <f t="shared" si="32"/>
        <v>0</v>
      </c>
      <c r="E986" t="str">
        <f t="shared" si="33"/>
        <v>X</v>
      </c>
    </row>
    <row r="987" spans="1:5" x14ac:dyDescent="0.3">
      <c r="A987">
        <f>vendors!B989</f>
        <v>0</v>
      </c>
      <c r="B987" s="5">
        <f>vendors!C989</f>
        <v>0</v>
      </c>
      <c r="D987">
        <f t="shared" si="32"/>
        <v>0</v>
      </c>
      <c r="E987" t="str">
        <f t="shared" si="33"/>
        <v>X</v>
      </c>
    </row>
    <row r="988" spans="1:5" x14ac:dyDescent="0.3">
      <c r="A988">
        <f>vendors!B990</f>
        <v>0</v>
      </c>
      <c r="B988" s="5">
        <f>vendors!C990</f>
        <v>0</v>
      </c>
      <c r="D988">
        <f t="shared" si="32"/>
        <v>0</v>
      </c>
      <c r="E988" t="str">
        <f t="shared" si="33"/>
        <v>X</v>
      </c>
    </row>
    <row r="989" spans="1:5" x14ac:dyDescent="0.3">
      <c r="A989">
        <f>vendors!B991</f>
        <v>0</v>
      </c>
      <c r="B989" s="5">
        <f>vendors!C991</f>
        <v>0</v>
      </c>
      <c r="D989">
        <f t="shared" si="32"/>
        <v>0</v>
      </c>
      <c r="E989" t="str">
        <f t="shared" si="33"/>
        <v>X</v>
      </c>
    </row>
    <row r="990" spans="1:5" x14ac:dyDescent="0.3">
      <c r="A990">
        <f>vendors!B992</f>
        <v>0</v>
      </c>
      <c r="B990" s="5">
        <f>vendors!C992</f>
        <v>0</v>
      </c>
      <c r="D990">
        <f t="shared" si="32"/>
        <v>0</v>
      </c>
      <c r="E990" t="str">
        <f t="shared" si="33"/>
        <v>X</v>
      </c>
    </row>
    <row r="991" spans="1:5" x14ac:dyDescent="0.3">
      <c r="A991">
        <f>vendors!B993</f>
        <v>0</v>
      </c>
      <c r="B991" s="5">
        <f>vendors!C993</f>
        <v>0</v>
      </c>
      <c r="D991">
        <f t="shared" si="32"/>
        <v>0</v>
      </c>
      <c r="E991" t="str">
        <f t="shared" si="33"/>
        <v>X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ED6CB-643E-4AE8-AF3D-BE03E118D416}">
  <sheetPr codeName="Sheet3"/>
  <dimension ref="A1:J4"/>
  <sheetViews>
    <sheetView zoomScale="115" zoomScaleNormal="115" workbookViewId="0">
      <selection activeCell="A2" sqref="A2:XFD2"/>
    </sheetView>
  </sheetViews>
  <sheetFormatPr defaultRowHeight="14.4" x14ac:dyDescent="0.3"/>
  <cols>
    <col min="1" max="1" width="9.88671875" bestFit="1" customWidth="1"/>
    <col min="2" max="2" width="11.33203125" bestFit="1" customWidth="1"/>
    <col min="3" max="3" width="15.5546875" customWidth="1"/>
    <col min="4" max="4" width="12.88671875" bestFit="1" customWidth="1"/>
    <col min="5" max="5" width="10.109375" bestFit="1" customWidth="1"/>
    <col min="6" max="6" width="5.21875" bestFit="1" customWidth="1"/>
    <col min="7" max="7" width="8" bestFit="1" customWidth="1"/>
    <col min="8" max="8" width="16.21875" bestFit="1" customWidth="1"/>
    <col min="9" max="9" width="11.88671875" bestFit="1" customWidth="1"/>
    <col min="10" max="10" width="9.88671875" customWidth="1"/>
  </cols>
  <sheetData>
    <row r="1" spans="1:10" x14ac:dyDescent="0.3">
      <c r="A1" t="s">
        <v>2</v>
      </c>
      <c r="B1" t="s">
        <v>1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9</v>
      </c>
      <c r="I1" t="s">
        <v>11</v>
      </c>
      <c r="J1" t="s">
        <v>10</v>
      </c>
    </row>
    <row r="2" spans="1:10" x14ac:dyDescent="0.3">
      <c r="A2" t="s">
        <v>108</v>
      </c>
      <c r="B2" t="s">
        <v>109</v>
      </c>
      <c r="C2" t="s">
        <v>110</v>
      </c>
      <c r="E2" t="s">
        <v>111</v>
      </c>
      <c r="F2" t="s">
        <v>38</v>
      </c>
      <c r="G2">
        <v>61010</v>
      </c>
      <c r="H2">
        <v>123456789</v>
      </c>
      <c r="J2">
        <v>100000</v>
      </c>
    </row>
    <row r="3" spans="1:10" x14ac:dyDescent="0.3">
      <c r="A3" t="s">
        <v>35</v>
      </c>
      <c r="B3" t="s">
        <v>36</v>
      </c>
      <c r="C3" t="s">
        <v>65</v>
      </c>
      <c r="E3" t="s">
        <v>37</v>
      </c>
      <c r="F3" t="s">
        <v>38</v>
      </c>
      <c r="G3">
        <v>61820</v>
      </c>
      <c r="H3">
        <v>123456789</v>
      </c>
      <c r="I3">
        <v>0</v>
      </c>
      <c r="J3">
        <v>150000</v>
      </c>
    </row>
    <row r="4" spans="1:10" x14ac:dyDescent="0.3">
      <c r="A4" t="s">
        <v>63</v>
      </c>
      <c r="B4" t="s">
        <v>64</v>
      </c>
      <c r="C4" t="s">
        <v>65</v>
      </c>
      <c r="E4" t="s">
        <v>37</v>
      </c>
      <c r="F4" t="s">
        <v>38</v>
      </c>
      <c r="G4">
        <v>61820</v>
      </c>
      <c r="H4">
        <v>123456788</v>
      </c>
      <c r="I4">
        <v>0</v>
      </c>
      <c r="J4">
        <v>250000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0F954-C5A6-4079-ACC7-DA0CAE253664}">
  <sheetPr codeName="Sheet6"/>
  <dimension ref="A1:C67"/>
  <sheetViews>
    <sheetView zoomScale="115" zoomScaleNormal="115" workbookViewId="0">
      <selection activeCell="A2" sqref="A2:XFD2"/>
    </sheetView>
  </sheetViews>
  <sheetFormatPr defaultRowHeight="14.4" x14ac:dyDescent="0.3"/>
  <cols>
    <col min="1" max="1" width="13.21875" customWidth="1"/>
    <col min="2" max="2" width="11.6640625" customWidth="1"/>
  </cols>
  <sheetData>
    <row r="1" spans="1:3" x14ac:dyDescent="0.3">
      <c r="A1" t="s">
        <v>33</v>
      </c>
      <c r="B1" t="s">
        <v>29</v>
      </c>
      <c r="C1" t="s">
        <v>34</v>
      </c>
    </row>
    <row r="2" spans="1:3" x14ac:dyDescent="0.3">
      <c r="A2">
        <v>8333.3333333333339</v>
      </c>
      <c r="B2" s="4">
        <v>37289</v>
      </c>
      <c r="C2" t="s">
        <v>74</v>
      </c>
    </row>
    <row r="5" spans="1:3" x14ac:dyDescent="0.3">
      <c r="B5" s="4"/>
    </row>
    <row r="6" spans="1:3" x14ac:dyDescent="0.3">
      <c r="B6" s="4"/>
    </row>
    <row r="7" spans="1:3" x14ac:dyDescent="0.3">
      <c r="B7" s="4"/>
    </row>
    <row r="8" spans="1:3" x14ac:dyDescent="0.3">
      <c r="B8" s="4"/>
    </row>
    <row r="9" spans="1:3" x14ac:dyDescent="0.3">
      <c r="B9" s="4"/>
    </row>
    <row r="10" spans="1:3" x14ac:dyDescent="0.3">
      <c r="B10" s="4"/>
    </row>
    <row r="24" spans="2:2" x14ac:dyDescent="0.3">
      <c r="B24" s="4"/>
    </row>
    <row r="30" spans="2:2" x14ac:dyDescent="0.3">
      <c r="B30" s="4"/>
    </row>
    <row r="31" spans="2:2" x14ac:dyDescent="0.3">
      <c r="B31" s="4"/>
    </row>
    <row r="32" spans="2:2" x14ac:dyDescent="0.3">
      <c r="B32" s="4"/>
    </row>
    <row r="33" spans="2:2" x14ac:dyDescent="0.3">
      <c r="B33" s="4"/>
    </row>
    <row r="45" spans="2:2" x14ac:dyDescent="0.3">
      <c r="B45" s="4"/>
    </row>
    <row r="46" spans="2:2" x14ac:dyDescent="0.3">
      <c r="B46" s="4"/>
    </row>
    <row r="50" spans="2:2" x14ac:dyDescent="0.3">
      <c r="B50" s="4"/>
    </row>
    <row r="51" spans="2:2" x14ac:dyDescent="0.3">
      <c r="B51" s="4"/>
    </row>
    <row r="52" spans="2:2" x14ac:dyDescent="0.3">
      <c r="B52" s="4"/>
    </row>
    <row r="53" spans="2:2" x14ac:dyDescent="0.3">
      <c r="B53" s="4"/>
    </row>
    <row r="54" spans="2:2" x14ac:dyDescent="0.3">
      <c r="B54" s="4"/>
    </row>
    <row r="55" spans="2:2" x14ac:dyDescent="0.3">
      <c r="B55" s="4"/>
    </row>
    <row r="56" spans="2:2" x14ac:dyDescent="0.3">
      <c r="B56" s="4"/>
    </row>
    <row r="57" spans="2:2" x14ac:dyDescent="0.3">
      <c r="B57" s="4"/>
    </row>
    <row r="58" spans="2:2" x14ac:dyDescent="0.3">
      <c r="B58" s="4"/>
    </row>
    <row r="59" spans="2:2" x14ac:dyDescent="0.3">
      <c r="B59" s="4"/>
    </row>
    <row r="60" spans="2:2" x14ac:dyDescent="0.3">
      <c r="B60" s="4"/>
    </row>
    <row r="61" spans="2:2" x14ac:dyDescent="0.3">
      <c r="B61" s="4"/>
    </row>
    <row r="62" spans="2:2" x14ac:dyDescent="0.3">
      <c r="B62" s="4"/>
    </row>
    <row r="63" spans="2:2" x14ac:dyDescent="0.3">
      <c r="B63" s="4"/>
    </row>
    <row r="64" spans="2:2" x14ac:dyDescent="0.3">
      <c r="B64" s="4"/>
    </row>
    <row r="65" spans="1:2" x14ac:dyDescent="0.3">
      <c r="B65" s="4"/>
    </row>
    <row r="66" spans="1:2" x14ac:dyDescent="0.3">
      <c r="B66" s="4"/>
    </row>
    <row r="67" spans="1:2" x14ac:dyDescent="0.3">
      <c r="A67" s="4"/>
      <c r="B67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33F68-4201-4F8F-8AE9-71C5F7148F3C}">
  <sheetPr codeName="Sheet7"/>
  <dimension ref="A1:I32"/>
  <sheetViews>
    <sheetView zoomScale="115" zoomScaleNormal="115" workbookViewId="0">
      <selection activeCell="A2" sqref="A2:XFD2"/>
    </sheetView>
  </sheetViews>
  <sheetFormatPr defaultRowHeight="14.4" x14ac:dyDescent="0.3"/>
  <cols>
    <col min="1" max="1" width="12.109375" customWidth="1"/>
    <col min="2" max="2" width="11.109375" customWidth="1"/>
    <col min="3" max="3" width="15.21875" customWidth="1"/>
    <col min="4" max="4" width="17" bestFit="1" customWidth="1"/>
    <col min="5" max="5" width="11.88671875" bestFit="1" customWidth="1"/>
    <col min="7" max="7" width="16.44140625" customWidth="1"/>
  </cols>
  <sheetData>
    <row r="1" spans="1:9" x14ac:dyDescent="0.3">
      <c r="A1" t="s">
        <v>2</v>
      </c>
      <c r="B1" t="s">
        <v>1</v>
      </c>
      <c r="C1" t="s">
        <v>41</v>
      </c>
      <c r="D1" t="s">
        <v>43</v>
      </c>
      <c r="E1" t="s">
        <v>39</v>
      </c>
      <c r="F1" t="s">
        <v>40</v>
      </c>
      <c r="G1" t="s">
        <v>44</v>
      </c>
      <c r="H1" t="s">
        <v>42</v>
      </c>
      <c r="I1" t="s">
        <v>29</v>
      </c>
    </row>
    <row r="2" spans="1:9" x14ac:dyDescent="0.3">
      <c r="A2" t="s">
        <v>108</v>
      </c>
      <c r="B2" t="s">
        <v>109</v>
      </c>
      <c r="C2">
        <v>8333.3333333333339</v>
      </c>
      <c r="D2">
        <v>2083.3333333333326</v>
      </c>
      <c r="E2">
        <v>166.6666666666666</v>
      </c>
      <c r="F2">
        <v>166.6666666666666</v>
      </c>
      <c r="G2">
        <v>666.6666666666664</v>
      </c>
      <c r="H2">
        <v>5249.9999999999982</v>
      </c>
      <c r="I2" s="4">
        <v>37289</v>
      </c>
    </row>
    <row r="5" spans="1:9" x14ac:dyDescent="0.3">
      <c r="I5" s="4"/>
    </row>
    <row r="6" spans="1:9" x14ac:dyDescent="0.3">
      <c r="I6" s="4"/>
    </row>
    <row r="7" spans="1:9" x14ac:dyDescent="0.3">
      <c r="I7" s="4"/>
    </row>
    <row r="8" spans="1:9" x14ac:dyDescent="0.3">
      <c r="I8" s="4"/>
    </row>
    <row r="9" spans="1:9" x14ac:dyDescent="0.3">
      <c r="I9" s="4"/>
    </row>
    <row r="10" spans="1:9" x14ac:dyDescent="0.3">
      <c r="I10" s="4"/>
    </row>
    <row r="24" spans="9:9" x14ac:dyDescent="0.3">
      <c r="I24" s="4"/>
    </row>
    <row r="30" spans="9:9" x14ac:dyDescent="0.3">
      <c r="I30" s="4"/>
    </row>
    <row r="31" spans="9:9" x14ac:dyDescent="0.3">
      <c r="I31" s="4"/>
    </row>
    <row r="32" spans="9:9" x14ac:dyDescent="0.3">
      <c r="I32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4360F-16DB-4370-9780-31A545BC0005}">
  <sheetPr codeName="Sheet9"/>
  <dimension ref="A1:F18"/>
  <sheetViews>
    <sheetView zoomScale="115" zoomScaleNormal="115" workbookViewId="0">
      <selection activeCell="B6" sqref="B6"/>
    </sheetView>
  </sheetViews>
  <sheetFormatPr defaultColWidth="32.88671875" defaultRowHeight="14.4" x14ac:dyDescent="0.3"/>
  <cols>
    <col min="2" max="3" width="32.88671875" style="5"/>
  </cols>
  <sheetData>
    <row r="1" spans="1:6" x14ac:dyDescent="0.3">
      <c r="A1" s="3" t="s">
        <v>29</v>
      </c>
    </row>
    <row r="2" spans="1:6" x14ac:dyDescent="0.3">
      <c r="A2" s="4">
        <v>37289</v>
      </c>
    </row>
    <row r="3" spans="1:6" x14ac:dyDescent="0.3">
      <c r="A3" s="10" t="s">
        <v>48</v>
      </c>
      <c r="B3" s="10"/>
      <c r="C3" s="10"/>
      <c r="D3" s="10"/>
      <c r="E3" s="10"/>
      <c r="F3" s="10"/>
    </row>
    <row r="4" spans="1:6" x14ac:dyDescent="0.3">
      <c r="A4" t="s">
        <v>45</v>
      </c>
      <c r="B4" s="6">
        <v>1875</v>
      </c>
    </row>
    <row r="5" spans="1:6" x14ac:dyDescent="0.3">
      <c r="A5" t="s">
        <v>46</v>
      </c>
      <c r="B5" s="6">
        <v>-585.20000000000005</v>
      </c>
    </row>
    <row r="6" spans="1:6" x14ac:dyDescent="0.3">
      <c r="A6" s="1" t="s">
        <v>47</v>
      </c>
      <c r="C6" s="5">
        <f>B4+B5</f>
        <v>1289.8</v>
      </c>
    </row>
    <row r="8" spans="1:6" x14ac:dyDescent="0.3">
      <c r="A8" s="12" t="s">
        <v>49</v>
      </c>
      <c r="B8" s="12"/>
      <c r="C8" s="12"/>
      <c r="D8" s="12"/>
      <c r="E8" s="12"/>
      <c r="F8" s="12"/>
    </row>
    <row r="9" spans="1:6" x14ac:dyDescent="0.3">
      <c r="A9" t="s">
        <v>50</v>
      </c>
      <c r="B9" s="6">
        <v>-13125.05</v>
      </c>
    </row>
    <row r="10" spans="1:6" x14ac:dyDescent="0.3">
      <c r="A10" t="s">
        <v>51</v>
      </c>
      <c r="B10" s="6">
        <v>-7708.36</v>
      </c>
    </row>
    <row r="11" spans="1:6" x14ac:dyDescent="0.3">
      <c r="A11" t="s">
        <v>52</v>
      </c>
      <c r="B11" s="5">
        <v>-1000</v>
      </c>
    </row>
    <row r="12" spans="1:6" x14ac:dyDescent="0.3">
      <c r="A12" s="2" t="s">
        <v>53</v>
      </c>
      <c r="B12" s="5">
        <v>-1000</v>
      </c>
    </row>
    <row r="13" spans="1:6" x14ac:dyDescent="0.3">
      <c r="A13" s="1" t="s">
        <v>54</v>
      </c>
      <c r="C13" s="5">
        <f>SUM(B9:B12)</f>
        <v>-22833.41</v>
      </c>
    </row>
    <row r="15" spans="1:6" x14ac:dyDescent="0.3">
      <c r="A15" s="11" t="s">
        <v>32</v>
      </c>
      <c r="B15" s="11"/>
      <c r="C15" s="11"/>
      <c r="D15" s="11"/>
      <c r="E15" s="11"/>
      <c r="F15" s="11"/>
    </row>
    <row r="16" spans="1:6" x14ac:dyDescent="0.3">
      <c r="A16" s="1" t="s">
        <v>55</v>
      </c>
      <c r="B16" s="5">
        <f>SUM(C:C)</f>
        <v>-21543.61</v>
      </c>
    </row>
    <row r="17" spans="1:2" x14ac:dyDescent="0.3">
      <c r="A17" s="1" t="s">
        <v>56</v>
      </c>
      <c r="B17" s="5">
        <f>-1*B16*0.25</f>
        <v>5385.9025000000001</v>
      </c>
    </row>
    <row r="18" spans="1:2" x14ac:dyDescent="0.3">
      <c r="A18" s="1" t="s">
        <v>57</v>
      </c>
      <c r="B18" s="5">
        <f>B16+B17</f>
        <v>-16157.7075</v>
      </c>
    </row>
  </sheetData>
  <mergeCells count="3">
    <mergeCell ref="A3:F3"/>
    <mergeCell ref="A15:F15"/>
    <mergeCell ref="A8:F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EB07E-4E94-4CB1-81B8-CEBD9204955A}">
  <sheetPr codeName="Sheet5"/>
  <dimension ref="A1:F28"/>
  <sheetViews>
    <sheetView zoomScale="108" zoomScaleNormal="85" workbookViewId="0">
      <selection activeCell="B6" sqref="B6"/>
    </sheetView>
  </sheetViews>
  <sheetFormatPr defaultRowHeight="14.4" x14ac:dyDescent="0.3"/>
  <cols>
    <col min="1" max="1" width="27.33203125" bestFit="1" customWidth="1"/>
    <col min="2" max="2" width="14.33203125" style="5" customWidth="1"/>
    <col min="3" max="3" width="12.44140625" style="5" bestFit="1" customWidth="1"/>
    <col min="4" max="4" width="21" bestFit="1" customWidth="1"/>
    <col min="5" max="5" width="7.6640625" bestFit="1" customWidth="1"/>
    <col min="9" max="9" width="11.6640625" customWidth="1"/>
  </cols>
  <sheetData>
    <row r="1" spans="1:6" x14ac:dyDescent="0.3">
      <c r="A1" s="3" t="s">
        <v>29</v>
      </c>
    </row>
    <row r="2" spans="1:6" x14ac:dyDescent="0.3">
      <c r="A2" s="4">
        <v>37289</v>
      </c>
    </row>
    <row r="3" spans="1:6" x14ac:dyDescent="0.3">
      <c r="A3" s="10" t="s">
        <v>12</v>
      </c>
      <c r="B3" s="10"/>
      <c r="C3" s="10"/>
      <c r="D3" s="10"/>
      <c r="E3" s="10"/>
      <c r="F3" s="10"/>
    </row>
    <row r="4" spans="1:6" x14ac:dyDescent="0.3">
      <c r="A4" t="s">
        <v>13</v>
      </c>
      <c r="B4" s="6">
        <v>1000</v>
      </c>
    </row>
    <row r="5" spans="1:6" x14ac:dyDescent="0.3">
      <c r="A5" t="s">
        <v>14</v>
      </c>
      <c r="B5" s="6">
        <v>1000</v>
      </c>
    </row>
    <row r="6" spans="1:6" x14ac:dyDescent="0.3">
      <c r="A6" t="s">
        <v>15</v>
      </c>
      <c r="B6" s="5">
        <f>inventory!G2</f>
        <v>1792.5</v>
      </c>
    </row>
    <row r="7" spans="1:6" x14ac:dyDescent="0.3">
      <c r="A7" s="1" t="s">
        <v>20</v>
      </c>
      <c r="C7" s="5">
        <f>SUM(B4:B6)</f>
        <v>3792.5</v>
      </c>
    </row>
    <row r="9" spans="1:6" x14ac:dyDescent="0.3">
      <c r="A9" t="s">
        <v>21</v>
      </c>
      <c r="B9" s="5">
        <v>50000</v>
      </c>
    </row>
    <row r="10" spans="1:6" x14ac:dyDescent="0.3">
      <c r="A10" t="s">
        <v>22</v>
      </c>
      <c r="B10" s="5">
        <v>50000</v>
      </c>
    </row>
    <row r="11" spans="1:6" x14ac:dyDescent="0.3">
      <c r="A11" s="2" t="s">
        <v>23</v>
      </c>
      <c r="B11" s="5">
        <v>25000</v>
      </c>
    </row>
    <row r="12" spans="1:6" x14ac:dyDescent="0.3">
      <c r="A12" s="1" t="s">
        <v>24</v>
      </c>
      <c r="C12" s="5">
        <f>SUM(B9:B11)</f>
        <v>125000</v>
      </c>
    </row>
    <row r="14" spans="1:6" x14ac:dyDescent="0.3">
      <c r="A14" s="1" t="s">
        <v>19</v>
      </c>
      <c r="C14" s="5">
        <f>SUM(C4:C12)</f>
        <v>128792.5</v>
      </c>
    </row>
    <row r="16" spans="1:6" x14ac:dyDescent="0.3">
      <c r="A16" s="12" t="s">
        <v>30</v>
      </c>
      <c r="B16" s="12"/>
      <c r="C16" s="12"/>
      <c r="D16" s="12"/>
      <c r="E16" s="12"/>
      <c r="F16" s="12"/>
    </row>
    <row r="17" spans="1:6" x14ac:dyDescent="0.3">
      <c r="A17" t="s">
        <v>16</v>
      </c>
      <c r="B17" s="6">
        <v>0</v>
      </c>
    </row>
    <row r="18" spans="1:6" x14ac:dyDescent="0.3">
      <c r="A18" t="s">
        <v>17</v>
      </c>
      <c r="B18" s="5">
        <v>0</v>
      </c>
    </row>
    <row r="19" spans="1:6" x14ac:dyDescent="0.3">
      <c r="A19" t="s">
        <v>18</v>
      </c>
      <c r="B19" s="5">
        <v>95000</v>
      </c>
    </row>
    <row r="20" spans="1:6" x14ac:dyDescent="0.3">
      <c r="A20" s="1" t="s">
        <v>25</v>
      </c>
      <c r="C20" s="5">
        <f>SUM(B17:B19)</f>
        <v>95000</v>
      </c>
    </row>
    <row r="22" spans="1:6" x14ac:dyDescent="0.3">
      <c r="A22" t="s">
        <v>26</v>
      </c>
      <c r="B22" s="5">
        <v>144000</v>
      </c>
    </row>
    <row r="23" spans="1:6" x14ac:dyDescent="0.3">
      <c r="A23" s="1" t="s">
        <v>27</v>
      </c>
      <c r="C23" s="5">
        <f>SUM(B22)</f>
        <v>144000</v>
      </c>
    </row>
    <row r="25" spans="1:6" x14ac:dyDescent="0.3">
      <c r="A25" s="1" t="s">
        <v>28</v>
      </c>
      <c r="C25" s="5">
        <f>SUM(C17:C23)</f>
        <v>239000</v>
      </c>
    </row>
    <row r="27" spans="1:6" x14ac:dyDescent="0.3">
      <c r="A27" s="11" t="s">
        <v>32</v>
      </c>
      <c r="B27" s="11"/>
      <c r="C27" s="11"/>
      <c r="D27" s="11"/>
      <c r="E27" s="11"/>
      <c r="F27" s="11"/>
    </row>
    <row r="28" spans="1:6" x14ac:dyDescent="0.3">
      <c r="A28" s="1" t="s">
        <v>31</v>
      </c>
      <c r="B28" s="5">
        <f>C14-C25</f>
        <v>-110207.5</v>
      </c>
    </row>
  </sheetData>
  <mergeCells count="3">
    <mergeCell ref="A3:F3"/>
    <mergeCell ref="A16:F16"/>
    <mergeCell ref="A27:F27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5EABD-104F-49CF-89C9-46DF99F4D028}">
  <sheetPr codeName="Sheet4"/>
  <dimension ref="A1:F28"/>
  <sheetViews>
    <sheetView zoomScale="102" zoomScaleNormal="85" workbookViewId="0">
      <selection activeCell="B7" sqref="B7"/>
    </sheetView>
  </sheetViews>
  <sheetFormatPr defaultRowHeight="14.4" x14ac:dyDescent="0.3"/>
  <cols>
    <col min="1" max="1" width="27.33203125" bestFit="1" customWidth="1"/>
    <col min="2" max="2" width="14.33203125" style="8" customWidth="1"/>
    <col min="3" max="3" width="13.21875" style="8" bestFit="1" customWidth="1"/>
    <col min="4" max="4" width="21" bestFit="1" customWidth="1"/>
    <col min="5" max="5" width="7.6640625" bestFit="1" customWidth="1"/>
    <col min="9" max="9" width="11.6640625" customWidth="1"/>
  </cols>
  <sheetData>
    <row r="1" spans="1:6" x14ac:dyDescent="0.3">
      <c r="A1" s="3" t="s">
        <v>29</v>
      </c>
    </row>
    <row r="2" spans="1:6" x14ac:dyDescent="0.3">
      <c r="A2" s="4">
        <v>42735</v>
      </c>
    </row>
    <row r="3" spans="1:6" x14ac:dyDescent="0.3">
      <c r="A3" s="10" t="s">
        <v>12</v>
      </c>
      <c r="B3" s="10"/>
      <c r="C3" s="10"/>
      <c r="D3" s="10"/>
      <c r="E3" s="10"/>
      <c r="F3" s="10"/>
    </row>
    <row r="4" spans="1:6" x14ac:dyDescent="0.3">
      <c r="A4" t="s">
        <v>13</v>
      </c>
      <c r="B4" s="8">
        <v>2000</v>
      </c>
    </row>
    <row r="5" spans="1:6" x14ac:dyDescent="0.3">
      <c r="A5" t="s">
        <v>14</v>
      </c>
      <c r="B5" s="8">
        <v>85000</v>
      </c>
    </row>
    <row r="6" spans="1:6" x14ac:dyDescent="0.3">
      <c r="A6" t="s">
        <v>15</v>
      </c>
      <c r="B6" s="8">
        <f>inventory!G2</f>
        <v>1792.5</v>
      </c>
    </row>
    <row r="7" spans="1:6" x14ac:dyDescent="0.3">
      <c r="A7" s="1" t="s">
        <v>20</v>
      </c>
      <c r="C7" s="8">
        <f>SUM(B4:B6)</f>
        <v>88792.5</v>
      </c>
    </row>
    <row r="9" spans="1:6" x14ac:dyDescent="0.3">
      <c r="A9" t="s">
        <v>21</v>
      </c>
      <c r="B9" s="8">
        <v>50000</v>
      </c>
    </row>
    <row r="10" spans="1:6" x14ac:dyDescent="0.3">
      <c r="A10" t="s">
        <v>22</v>
      </c>
      <c r="B10" s="8">
        <v>50000</v>
      </c>
    </row>
    <row r="11" spans="1:6" x14ac:dyDescent="0.3">
      <c r="A11" s="2" t="s">
        <v>23</v>
      </c>
      <c r="B11" s="8">
        <v>25000</v>
      </c>
    </row>
    <row r="12" spans="1:6" x14ac:dyDescent="0.3">
      <c r="A12" s="1" t="s">
        <v>24</v>
      </c>
      <c r="C12" s="8">
        <f>SUM(B9:B11)</f>
        <v>125000</v>
      </c>
    </row>
    <row r="14" spans="1:6" x14ac:dyDescent="0.3">
      <c r="A14" s="1" t="s">
        <v>19</v>
      </c>
      <c r="B14" s="8">
        <f>SUM(C4:C15)</f>
        <v>213792.5</v>
      </c>
    </row>
    <row r="16" spans="1:6" x14ac:dyDescent="0.3">
      <c r="A16" s="12" t="s">
        <v>30</v>
      </c>
      <c r="B16" s="12"/>
      <c r="C16" s="12"/>
      <c r="D16" s="12"/>
      <c r="E16" s="12"/>
      <c r="F16" s="12"/>
    </row>
    <row r="17" spans="1:6" x14ac:dyDescent="0.3">
      <c r="A17" t="s">
        <v>16</v>
      </c>
      <c r="B17" s="8">
        <v>18000</v>
      </c>
    </row>
    <row r="18" spans="1:6" x14ac:dyDescent="0.3">
      <c r="A18" t="s">
        <v>17</v>
      </c>
      <c r="B18" s="8">
        <v>65000</v>
      </c>
    </row>
    <row r="19" spans="1:6" x14ac:dyDescent="0.3">
      <c r="A19" t="s">
        <v>18</v>
      </c>
      <c r="B19" s="8">
        <v>95000</v>
      </c>
    </row>
    <row r="20" spans="1:6" x14ac:dyDescent="0.3">
      <c r="A20" s="1" t="s">
        <v>25</v>
      </c>
      <c r="C20" s="8">
        <f>SUM(B17:B19)</f>
        <v>178000</v>
      </c>
    </row>
    <row r="22" spans="1:6" x14ac:dyDescent="0.3">
      <c r="A22" t="s">
        <v>26</v>
      </c>
      <c r="B22" s="8">
        <v>144000</v>
      </c>
    </row>
    <row r="23" spans="1:6" x14ac:dyDescent="0.3">
      <c r="A23" s="1" t="s">
        <v>27</v>
      </c>
      <c r="C23" s="8">
        <f>SUM(B22)</f>
        <v>144000</v>
      </c>
    </row>
    <row r="25" spans="1:6" x14ac:dyDescent="0.3">
      <c r="A25" s="1" t="s">
        <v>28</v>
      </c>
      <c r="B25" s="8">
        <f>SUM(C17:C26)</f>
        <v>322000</v>
      </c>
    </row>
    <row r="27" spans="1:6" x14ac:dyDescent="0.3">
      <c r="A27" s="11" t="s">
        <v>32</v>
      </c>
      <c r="B27" s="11"/>
      <c r="C27" s="11"/>
      <c r="D27" s="11"/>
      <c r="E27" s="11"/>
      <c r="F27" s="11"/>
    </row>
    <row r="28" spans="1:6" x14ac:dyDescent="0.3">
      <c r="A28" s="1" t="s">
        <v>31</v>
      </c>
      <c r="B28" s="8">
        <f>B14-B25</f>
        <v>-108207.5</v>
      </c>
    </row>
  </sheetData>
  <mergeCells count="3">
    <mergeCell ref="A3:F3"/>
    <mergeCell ref="A16:F16"/>
    <mergeCell ref="A27:F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invoice_history</vt:lpstr>
      <vt:lpstr>customers</vt:lpstr>
      <vt:lpstr>purchase_history</vt:lpstr>
      <vt:lpstr>vendors</vt:lpstr>
      <vt:lpstr>inventory</vt:lpstr>
      <vt:lpstr>employees</vt:lpstr>
      <vt:lpstr>expenses</vt:lpstr>
      <vt:lpstr>payroll</vt:lpstr>
      <vt:lpstr>income_statement</vt:lpstr>
      <vt:lpstr>balance_sheet</vt:lpstr>
      <vt:lpstr>balance_sheet_initial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cp:lastPrinted>2019-09-14T00:56:29Z</cp:lastPrinted>
  <dcterms:created xsi:type="dcterms:W3CDTF">2019-09-10T18:26:50Z</dcterms:created>
  <dcterms:modified xsi:type="dcterms:W3CDTF">2019-10-16T19:36:13Z</dcterms:modified>
</cp:coreProperties>
</file>